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ct\Inventory and Supplier Transaction Automation\"/>
    </mc:Choice>
  </mc:AlternateContent>
  <xr:revisionPtr revIDLastSave="0" documentId="13_ncr:1_{DB1E490F-08F6-46B6-92B0-A51F53B5D2F0}" xr6:coauthVersionLast="47" xr6:coauthVersionMax="47" xr10:uidLastSave="{00000000-0000-0000-0000-000000000000}"/>
  <bookViews>
    <workbookView xWindow="-108" yWindow="-108" windowWidth="23256" windowHeight="12456" tabRatio="598" activeTab="4" xr2:uid="{00000000-000D-0000-FFFF-FFFF00000000}"/>
  </bookViews>
  <sheets>
    <sheet name="Homepage" sheetId="9" r:id="rId1"/>
    <sheet name="Inventory" sheetId="4" r:id="rId2"/>
    <sheet name="SupplierX" sheetId="1" r:id="rId3"/>
    <sheet name="SupplierY" sheetId="6" r:id="rId4"/>
    <sheet name="Description" sheetId="7" r:id="rId5"/>
  </sheets>
  <definedNames>
    <definedName name="FHDGVYA">#REF!</definedName>
    <definedName name="InventoryItems">INDEX(Inventory[Item],1):INDEX(Inventory[Item],COUNTA(Inventory[Item]))</definedName>
    <definedName name="SupplierY">#REF!</definedName>
    <definedName name="Y">#REF!</definedName>
    <definedName name="YD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E27" i="4" s="1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F9" i="6"/>
  <c r="J13" i="6"/>
  <c r="H13" i="1"/>
  <c r="F44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1" i="1"/>
  <c r="F442" i="1"/>
  <c r="F443" i="1"/>
  <c r="F444" i="1"/>
  <c r="F445" i="1"/>
  <c r="F446" i="1"/>
  <c r="F447" i="1"/>
  <c r="F448" i="1"/>
  <c r="F449" i="1"/>
  <c r="F450" i="1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8" i="6"/>
  <c r="F7" i="6"/>
  <c r="F6" i="6"/>
  <c r="F5" i="6"/>
  <c r="F4" i="6"/>
  <c r="H7" i="1" l="1"/>
  <c r="H19" i="1"/>
  <c r="J19" i="6"/>
  <c r="J7" i="6"/>
  <c r="E23" i="4" l="1"/>
  <c r="E5" i="4"/>
  <c r="E24" i="4"/>
  <c r="E12" i="4"/>
  <c r="E19" i="4"/>
  <c r="E25" i="4"/>
  <c r="E26" i="4"/>
  <c r="E17" i="4"/>
  <c r="E10" i="4"/>
  <c r="E9" i="4"/>
  <c r="E13" i="4"/>
  <c r="E8" i="4"/>
  <c r="E21" i="4"/>
  <c r="E18" i="4"/>
  <c r="E16" i="4"/>
  <c r="E7" i="4"/>
  <c r="E14" i="4"/>
  <c r="E11" i="4"/>
  <c r="E22" i="4"/>
  <c r="E15" i="4"/>
  <c r="E20" i="4"/>
  <c r="E6" i="4"/>
</calcChain>
</file>

<file path=xl/sharedStrings.xml><?xml version="1.0" encoding="utf-8"?>
<sst xmlns="http://schemas.openxmlformats.org/spreadsheetml/2006/main" count="56" uniqueCount="45">
  <si>
    <t>Transaction Date</t>
  </si>
  <si>
    <t xml:space="preserve">Transaction Type </t>
  </si>
  <si>
    <t>Quantity</t>
  </si>
  <si>
    <t>Amount
₦</t>
  </si>
  <si>
    <t>Price Per Unit
₦</t>
  </si>
  <si>
    <t>Item</t>
  </si>
  <si>
    <t xml:space="preserve"> Opening Stock</t>
  </si>
  <si>
    <t xml:space="preserve"> Quantity Received</t>
  </si>
  <si>
    <t xml:space="preserve"> Quantity Used</t>
  </si>
  <si>
    <t xml:space="preserve"> Closing Stock</t>
  </si>
  <si>
    <t>SUPPLIER X TRANSACTION RECORDS</t>
  </si>
  <si>
    <t>SUPPLIER Y TRANSACTIONAL RECORDS</t>
  </si>
  <si>
    <t>INVENTORY RECORDS</t>
  </si>
  <si>
    <t>Price Per Unit
(₦)</t>
  </si>
  <si>
    <t>Amount
(₦)</t>
  </si>
  <si>
    <t>Deposit
₦</t>
  </si>
  <si>
    <t>Deposit
(₦)</t>
  </si>
  <si>
    <t>Item Received</t>
  </si>
  <si>
    <t>WORKBOOK DESCRIPTION</t>
  </si>
  <si>
    <t>This workbook is designed to record and track supplier transactions and inventory usage.</t>
  </si>
  <si>
    <t>SUPLIER TRANSACTION RECORDS</t>
  </si>
  <si>
    <t>Transaction Type</t>
  </si>
  <si>
    <t>Price Per Unit (₦)</t>
  </si>
  <si>
    <t>Amount (₦)</t>
  </si>
  <si>
    <t>Deposit (₦)</t>
  </si>
  <si>
    <t>The date of the transaction.</t>
  </si>
  <si>
    <t>Type of transaction (e.g., Purchase, Deposit, Refund).</t>
  </si>
  <si>
    <t>Name of item supplied</t>
  </si>
  <si>
    <t>Number of units received</t>
  </si>
  <si>
    <t>Cost per item</t>
  </si>
  <si>
    <t>Auto-calculated as Quantity × Price.</t>
  </si>
  <si>
    <t>Amount paid upfront</t>
  </si>
  <si>
    <t>Quantity available before receiving new items.</t>
  </si>
  <si>
    <t>Items added to stock from suppliers</t>
  </si>
  <si>
    <t>Items removed from stock</t>
  </si>
  <si>
    <t>Auto-calculated as (Opening + Received – Used)</t>
  </si>
  <si>
    <t>Opening Stock</t>
  </si>
  <si>
    <t>Quantity Received</t>
  </si>
  <si>
    <t>Closing Stock</t>
  </si>
  <si>
    <t>Quantity Used</t>
  </si>
  <si>
    <t>Name of the inventory item</t>
  </si>
  <si>
    <t>Transaction Date
(yyyy-mm-dd)</t>
  </si>
  <si>
    <t>TOTAL AMOUNT</t>
  </si>
  <si>
    <t>TOTAL DEPOSIT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</si>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</sst>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yyyy\-mm\-dd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Times New Roman"/>
      <family val="1"/>
    </font>
    <font>
      <b/>
      <sz val="16"/>
      <color theme="0"/>
      <name val="Times New Roman"/>
      <family val="1"/>
    </font>
    <font>
      <b/>
      <sz val="24"/>
      <color theme="0"/>
      <name val="Times New Roman"/>
      <family val="1"/>
    </font>
    <font>
      <sz val="24"/>
      <color theme="0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0" xfId="0" applyNumberFormat="1" applyFont="1" applyAlignment="1">
      <alignment wrapText="1"/>
    </xf>
    <xf numFmtId="0" fontId="0" fillId="0" borderId="0" xfId="0" applyAlignment="1"/>
    <xf numFmtId="0" fontId="0" fillId="0" borderId="0" xfId="0" applyAlignment="1" applyProtection="1">
      <protection locked="0"/>
    </xf>
    <xf numFmtId="43" fontId="0" fillId="0" borderId="0" xfId="0" applyNumberFormat="1" applyAlignment="1" applyProtection="1">
      <protection locked="0"/>
    </xf>
    <xf numFmtId="43" fontId="0" fillId="0" borderId="0" xfId="0" applyNumberFormat="1" applyAlignme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protection hidden="1"/>
    </xf>
    <xf numFmtId="0" fontId="0" fillId="0" borderId="0" xfId="0" applyProtection="1">
      <protection locked="0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0" xfId="0" applyAlignment="1" applyProtection="1">
      <protection hidden="1"/>
    </xf>
    <xf numFmtId="0" fontId="0" fillId="0" borderId="0" xfId="0" applyProtection="1">
      <protection hidden="1"/>
    </xf>
    <xf numFmtId="0" fontId="0" fillId="0" borderId="0" xfId="0"/>
    <xf numFmtId="165" fontId="1" fillId="0" borderId="0" xfId="0" applyNumberFormat="1" applyFont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0" xfId="0" applyProtection="1">
      <protection hidden="1"/>
    </xf>
    <xf numFmtId="0" fontId="0" fillId="0" borderId="0" xfId="0" applyAlignmen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  <protection hidden="1"/>
    </xf>
    <xf numFmtId="2" fontId="6" fillId="3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Border="1" applyAlignment="1" applyProtection="1">
      <protection hidden="1"/>
    </xf>
    <xf numFmtId="0" fontId="0" fillId="0" borderId="0" xfId="0" applyAlignme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2" borderId="0" xfId="0" applyFont="1" applyFill="1" applyBorder="1" applyAlignment="1">
      <alignment horizontal="center" vertical="center"/>
    </xf>
    <xf numFmtId="0" fontId="0" fillId="0" borderId="0" xfId="0"/>
    <xf numFmtId="2" fontId="6" fillId="3" borderId="0" xfId="0" applyNumberFormat="1" applyFont="1" applyFill="1" applyAlignment="1">
      <alignment horizontal="center" vertical="center"/>
    </xf>
    <xf numFmtId="0" fontId="0" fillId="0" borderId="0" xfId="0" applyBorder="1" applyAlignment="1"/>
    <xf numFmtId="0" fontId="0" fillId="0" borderId="0" xfId="0" applyAlignment="1"/>
    <xf numFmtId="0" fontId="10" fillId="4" borderId="5" xfId="0" applyFont="1" applyFill="1" applyBorder="1"/>
    <xf numFmtId="0" fontId="10" fillId="4" borderId="6" xfId="0" applyFont="1" applyFill="1" applyBorder="1"/>
    <xf numFmtId="0" fontId="10" fillId="4" borderId="7" xfId="0" applyFont="1" applyFill="1" applyBorder="1"/>
    <xf numFmtId="0" fontId="10" fillId="4" borderId="8" xfId="0" applyFont="1" applyFill="1" applyBorder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9" xfId="0" applyFont="1" applyBorder="1" applyAlignment="1" applyProtection="1">
      <alignment horizontal="center" vertical="center" wrapText="1"/>
    </xf>
    <xf numFmtId="0" fontId="11" fillId="0" borderId="0" xfId="0" applyFont="1" applyProtection="1">
      <protection locked="0"/>
    </xf>
    <xf numFmtId="43" fontId="0" fillId="0" borderId="0" xfId="0" applyNumberFormat="1" applyProtection="1">
      <protection locked="0"/>
    </xf>
  </cellXfs>
  <cellStyles count="1">
    <cellStyle name="Normal" xfId="0" builtinId="0"/>
  </cellStyles>
  <dxfs count="26">
    <dxf>
      <numFmt numFmtId="35" formatCode="_-* #,##0.00_-;\-* #,##0.00_-;_-* &quot;-&quot;??_-;_-@_-"/>
      <alignment horizontal="general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general" vertical="bottom" textRotation="0" wrapText="0" indent="0" justifyLastLine="0" shrinkToFit="0" readingOrder="0"/>
      <protection locked="1" hidden="0"/>
    </dxf>
    <dxf>
      <protection locked="0" hidden="0"/>
    </dxf>
    <dxf>
      <protection locked="0" hidden="0"/>
    </dxf>
    <dxf>
      <numFmt numFmtId="35" formatCode="_-* #,##0.00_-;\-* #,##0.00_-;_-* &quot;-&quot;??_-;_-@_-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0"/>
    </dxf>
    <dxf>
      <numFmt numFmtId="0" formatCode="General"/>
      <protection locked="1" hidden="1"/>
    </dxf>
    <dxf>
      <protection locked="0" hidden="0"/>
    </dxf>
    <dxf>
      <numFmt numFmtId="0" formatCode="General"/>
      <protection locked="1" hidden="1"/>
    </dxf>
    <dxf>
      <protection locked="0" hidden="0"/>
    </dxf>
    <dxf>
      <numFmt numFmtId="35" formatCode="_-* #,##0.00_-;\-* #,##0.00_-;_-* &quot;-&quot;??_-;_-@_-"/>
      <alignment horizontal="general" vertical="bottom" textRotation="0" wrapText="0" indent="0" justifyLastLine="0" shrinkToFit="0" readingOrder="0"/>
      <protection locked="1" hidden="0"/>
    </dxf>
    <dxf>
      <numFmt numFmtId="35" formatCode="_-* #,##0.00_-;\-* #,##0.00_-;_-* &quot;-&quot;??_-;_-@_-"/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yyyy\-mm\-dd"/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border outline="0">
        <bottom style="thin">
          <color theme="0"/>
        </bottom>
      </border>
    </dxf>
    <dxf>
      <numFmt numFmtId="35" formatCode="_-* #,##0.00_-;\-* #,##0.00_-;_-* &quot;-&quot;??_-;_-@_-"/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yyyy\-mm\-dd"/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escription!A1"/><Relationship Id="rId2" Type="http://schemas.openxmlformats.org/officeDocument/2006/relationships/hyperlink" Target="#SupplierY!A1"/><Relationship Id="rId1" Type="http://schemas.openxmlformats.org/officeDocument/2006/relationships/hyperlink" Target="#SupplierX!A1"/><Relationship Id="rId4" Type="http://schemas.openxmlformats.org/officeDocument/2006/relationships/hyperlink" Target="#Invento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38100</xdr:rowOff>
    </xdr:from>
    <xdr:to>
      <xdr:col>12</xdr:col>
      <xdr:colOff>411480</xdr:colOff>
      <xdr:row>33</xdr:row>
      <xdr:rowOff>129540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59AC0DD-35A4-4DB4-9487-7C6CCBE5F5DF}"/>
            </a:ext>
          </a:extLst>
        </xdr:cNvPr>
        <xdr:cNvSpPr/>
      </xdr:nvSpPr>
      <xdr:spPr>
        <a:xfrm>
          <a:off x="0" y="38100"/>
          <a:ext cx="7726680" cy="61341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0</xdr:col>
      <xdr:colOff>571500</xdr:colOff>
      <xdr:row>0</xdr:row>
      <xdr:rowOff>129540</xdr:rowOff>
    </xdr:from>
    <xdr:to>
      <xdr:col>12</xdr:col>
      <xdr:colOff>30480</xdr:colOff>
      <xdr:row>5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33C05BB-E586-42C2-9DC3-99AC5549F526}"/>
            </a:ext>
          </a:extLst>
        </xdr:cNvPr>
        <xdr:cNvSpPr/>
      </xdr:nvSpPr>
      <xdr:spPr>
        <a:xfrm>
          <a:off x="571500" y="129540"/>
          <a:ext cx="6774180" cy="861060"/>
        </a:xfrm>
        <a:prstGeom prst="roundRect">
          <a:avLst>
            <a:gd name="adj" fmla="val 12784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 editAs="absolute">
    <xdr:from>
      <xdr:col>2</xdr:col>
      <xdr:colOff>53340</xdr:colOff>
      <xdr:row>1</xdr:row>
      <xdr:rowOff>15240</xdr:rowOff>
    </xdr:from>
    <xdr:to>
      <xdr:col>11</xdr:col>
      <xdr:colOff>68580</xdr:colOff>
      <xdr:row>3</xdr:row>
      <xdr:rowOff>167640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1E7788-E875-4BD3-99FB-DABC2769AC6B}"/>
            </a:ext>
          </a:extLst>
        </xdr:cNvPr>
        <xdr:cNvSpPr/>
      </xdr:nvSpPr>
      <xdr:spPr>
        <a:xfrm>
          <a:off x="1272540" y="198120"/>
          <a:ext cx="5501640" cy="518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STELLAR MANUFACTURING LTD.</a:t>
          </a:r>
        </a:p>
        <a:p>
          <a:pPr algn="ctr"/>
          <a:endParaRPr lang="en-US" sz="2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563880</xdr:colOff>
      <xdr:row>3</xdr:row>
      <xdr:rowOff>60960</xdr:rowOff>
    </xdr:from>
    <xdr:to>
      <xdr:col>11</xdr:col>
      <xdr:colOff>0</xdr:colOff>
      <xdr:row>5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3043D6-2A22-4921-975C-AAD1DC88530C}"/>
            </a:ext>
          </a:extLst>
        </xdr:cNvPr>
        <xdr:cNvSpPr/>
      </xdr:nvSpPr>
      <xdr:spPr>
        <a:xfrm>
          <a:off x="1173480" y="609600"/>
          <a:ext cx="553212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SUPPLIER TRANSACTION HOMEPAGE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556260</xdr:colOff>
      <xdr:row>6</xdr:row>
      <xdr:rowOff>53340</xdr:rowOff>
    </xdr:from>
    <xdr:to>
      <xdr:col>6</xdr:col>
      <xdr:colOff>190500</xdr:colOff>
      <xdr:row>21</xdr:row>
      <xdr:rowOff>99060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8891942-B2B2-4FF1-BE45-BB492B560CEA}"/>
            </a:ext>
          </a:extLst>
        </xdr:cNvPr>
        <xdr:cNvGrpSpPr/>
      </xdr:nvGrpSpPr>
      <xdr:grpSpPr>
        <a:xfrm>
          <a:off x="556260" y="1158240"/>
          <a:ext cx="3291840" cy="2788920"/>
          <a:chOff x="525780" y="1127760"/>
          <a:chExt cx="3291840" cy="278892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9921667-A83B-42F7-99C2-9AF597D3BE8B}"/>
              </a:ext>
            </a:extLst>
          </xdr:cNvPr>
          <xdr:cNvSpPr/>
        </xdr:nvSpPr>
        <xdr:spPr>
          <a:xfrm>
            <a:off x="525780" y="1127760"/>
            <a:ext cx="3291840" cy="2788920"/>
          </a:xfrm>
          <a:prstGeom prst="roundRect">
            <a:avLst>
              <a:gd name="adj" fmla="val 3907"/>
            </a:avLst>
          </a:prstGeom>
          <a:noFill/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15E679B-6998-4F13-9725-0AEF4783739D}"/>
              </a:ext>
            </a:extLst>
          </xdr:cNvPr>
          <xdr:cNvSpPr/>
        </xdr:nvSpPr>
        <xdr:spPr>
          <a:xfrm>
            <a:off x="556260" y="1257300"/>
            <a:ext cx="3223260" cy="381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SUPPLIER</a:t>
            </a:r>
            <a:r>
              <a:rPr lang="en-US" sz="1800" b="1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X</a:t>
            </a:r>
            <a:endParaRPr lang="en-US" sz="18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algn="ctr"/>
            <a:endPara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7175037-9C83-49C1-9189-92EFB864740A}"/>
              </a:ext>
            </a:extLst>
          </xdr:cNvPr>
          <xdr:cNvSpPr/>
        </xdr:nvSpPr>
        <xdr:spPr>
          <a:xfrm>
            <a:off x="601980" y="1737360"/>
            <a:ext cx="1516380" cy="1059180"/>
          </a:xfrm>
          <a:prstGeom prst="roundRect">
            <a:avLst>
              <a:gd name="adj" fmla="val 3907"/>
            </a:avLst>
          </a:prstGeom>
          <a:noFill/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79094C89-BC8C-4698-9E8E-744B9B53D89D}"/>
              </a:ext>
            </a:extLst>
          </xdr:cNvPr>
          <xdr:cNvSpPr/>
        </xdr:nvSpPr>
        <xdr:spPr>
          <a:xfrm>
            <a:off x="2110740" y="1737360"/>
            <a:ext cx="1607820" cy="1059180"/>
          </a:xfrm>
          <a:prstGeom prst="roundRect">
            <a:avLst>
              <a:gd name="adj" fmla="val 3907"/>
            </a:avLst>
          </a:prstGeom>
          <a:noFill/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3D4DCC37-D281-4BF7-BF44-23BF601EABBA}"/>
              </a:ext>
            </a:extLst>
          </xdr:cNvPr>
          <xdr:cNvSpPr/>
        </xdr:nvSpPr>
        <xdr:spPr>
          <a:xfrm>
            <a:off x="624840" y="1798320"/>
            <a:ext cx="1493520" cy="30480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AMOUNT</a:t>
            </a:r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E720E4DC-8360-483F-A1F9-021A7AB99226}"/>
              </a:ext>
            </a:extLst>
          </xdr:cNvPr>
          <xdr:cNvSpPr/>
        </xdr:nvSpPr>
        <xdr:spPr>
          <a:xfrm>
            <a:off x="2202180" y="1760220"/>
            <a:ext cx="1493520" cy="38100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DEPOSIT</a:t>
            </a: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CB08F6B6-FFA1-4823-8EDD-AAD84B261092}"/>
              </a:ext>
            </a:extLst>
          </xdr:cNvPr>
          <xdr:cNvSpPr/>
        </xdr:nvSpPr>
        <xdr:spPr>
          <a:xfrm>
            <a:off x="533400" y="2857500"/>
            <a:ext cx="3238500" cy="36576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BALANCE</a:t>
            </a:r>
          </a:p>
        </xdr:txBody>
      </xdr:sp>
      <xdr:sp macro="" textlink="SupplierX!H19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A51CD09B-F269-453F-B9AD-7641FEEBC304}"/>
              </a:ext>
            </a:extLst>
          </xdr:cNvPr>
          <xdr:cNvSpPr/>
        </xdr:nvSpPr>
        <xdr:spPr>
          <a:xfrm>
            <a:off x="541020" y="3185160"/>
            <a:ext cx="3200400" cy="44958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AD3DBB4-42EB-41FB-BB07-1756535EF8A0}" type="TxLink">
              <a:rPr lang="en-US" sz="1800" b="1" i="0" u="none" strike="noStrike">
                <a:solidFill>
                  <a:sysClr val="windowText" lastClr="000000"/>
                </a:solidFill>
                <a:latin typeface="Times New Roman"/>
                <a:cs typeface="Times New Roman"/>
              </a:rPr>
              <a:pPr algn="ctr"/>
              <a:t>₦ 0.00</a:t>
            </a:fld>
            <a:endParaRPr lang="en-US" sz="1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SupplierX!H7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D0160D88-E6BA-4DC5-9209-1CC8383B78D8}"/>
              </a:ext>
            </a:extLst>
          </xdr:cNvPr>
          <xdr:cNvSpPr/>
        </xdr:nvSpPr>
        <xdr:spPr>
          <a:xfrm>
            <a:off x="617220" y="2095500"/>
            <a:ext cx="1493520" cy="57150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62C387D2-D6A1-44D0-8627-95D8B69796EF}" type="TxLink">
              <a:rPr lang="en-US" sz="1400" b="1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rPr>
              <a:pPr marL="0" indent="0" algn="ctr"/>
              <a:t>₦ 0.00</a:t>
            </a:fld>
            <a:endParaRPr lang="en-US" sz="1400" b="1" i="0" u="none" strike="noStrike">
              <a:solidFill>
                <a:sysClr val="windowText" lastClr="000000"/>
              </a:solidFill>
              <a:latin typeface="Times New Roman"/>
              <a:ea typeface="+mn-ea"/>
              <a:cs typeface="Times New Roman"/>
            </a:endParaRPr>
          </a:p>
        </xdr:txBody>
      </xdr:sp>
      <xdr:sp macro="" textlink="SupplierX!H13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E225DAA0-7737-46ED-9D2B-63EAACA5D003}"/>
              </a:ext>
            </a:extLst>
          </xdr:cNvPr>
          <xdr:cNvSpPr/>
        </xdr:nvSpPr>
        <xdr:spPr>
          <a:xfrm>
            <a:off x="2125980" y="2026920"/>
            <a:ext cx="1493520" cy="63246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D877150F-BC56-4010-A3F4-E51A56BFD7BF}" type="TxLink">
              <a:rPr lang="en-US" sz="1400" b="1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rPr>
              <a:pPr marL="0" indent="0" algn="ctr"/>
              <a:t>₦ 0.00</a:t>
            </a:fld>
            <a:endParaRPr lang="en-US" sz="1400" b="1" i="0" u="none" strike="noStrike">
              <a:solidFill>
                <a:sysClr val="windowText" lastClr="000000"/>
              </a:solidFill>
              <a:latin typeface="Times New Roman"/>
              <a:ea typeface="+mn-ea"/>
              <a:cs typeface="Times New Roman"/>
            </a:endParaRPr>
          </a:p>
        </xdr:txBody>
      </xdr:sp>
    </xdr:grpSp>
    <xdr:clientData/>
  </xdr:twoCellAnchor>
  <xdr:twoCellAnchor editAs="absolute">
    <xdr:from>
      <xdr:col>6</xdr:col>
      <xdr:colOff>365760</xdr:colOff>
      <xdr:row>6</xdr:row>
      <xdr:rowOff>60960</xdr:rowOff>
    </xdr:from>
    <xdr:to>
      <xdr:col>12</xdr:col>
      <xdr:colOff>0</xdr:colOff>
      <xdr:row>21</xdr:row>
      <xdr:rowOff>106680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3A50797-1E14-467D-AF73-B9D66CC10AB1}"/>
            </a:ext>
          </a:extLst>
        </xdr:cNvPr>
        <xdr:cNvGrpSpPr/>
      </xdr:nvGrpSpPr>
      <xdr:grpSpPr>
        <a:xfrm>
          <a:off x="4023360" y="1165860"/>
          <a:ext cx="3291840" cy="2788920"/>
          <a:chOff x="525780" y="1127760"/>
          <a:chExt cx="3291840" cy="2788920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23CD9507-E72E-4540-9801-9EB397EC0C2E}"/>
              </a:ext>
            </a:extLst>
          </xdr:cNvPr>
          <xdr:cNvSpPr/>
        </xdr:nvSpPr>
        <xdr:spPr>
          <a:xfrm>
            <a:off x="525780" y="1127760"/>
            <a:ext cx="3291840" cy="2788920"/>
          </a:xfrm>
          <a:prstGeom prst="roundRect">
            <a:avLst>
              <a:gd name="adj" fmla="val 3907"/>
            </a:avLst>
          </a:prstGeom>
          <a:noFill/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964C3B12-69F5-4A83-BF27-F0B907C667A5}"/>
              </a:ext>
            </a:extLst>
          </xdr:cNvPr>
          <xdr:cNvSpPr/>
        </xdr:nvSpPr>
        <xdr:spPr>
          <a:xfrm>
            <a:off x="556260" y="1257300"/>
            <a:ext cx="3223260" cy="381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SUPPLIER</a:t>
            </a:r>
            <a:r>
              <a:rPr lang="en-US" sz="1800" b="1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Y</a:t>
            </a:r>
            <a:endParaRPr lang="en-US" sz="18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algn="ctr"/>
            <a:endPara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6A2AF067-12FB-4CC7-A905-C9ECAD9987AC}"/>
              </a:ext>
            </a:extLst>
          </xdr:cNvPr>
          <xdr:cNvSpPr/>
        </xdr:nvSpPr>
        <xdr:spPr>
          <a:xfrm>
            <a:off x="601980" y="1737360"/>
            <a:ext cx="1516380" cy="1059180"/>
          </a:xfrm>
          <a:prstGeom prst="roundRect">
            <a:avLst>
              <a:gd name="adj" fmla="val 3907"/>
            </a:avLst>
          </a:prstGeom>
          <a:noFill/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7AC4409A-A387-4A8A-B256-4AF05A765DAC}"/>
              </a:ext>
            </a:extLst>
          </xdr:cNvPr>
          <xdr:cNvSpPr/>
        </xdr:nvSpPr>
        <xdr:spPr>
          <a:xfrm>
            <a:off x="2110740" y="1737360"/>
            <a:ext cx="1607820" cy="1059180"/>
          </a:xfrm>
          <a:prstGeom prst="roundRect">
            <a:avLst>
              <a:gd name="adj" fmla="val 3907"/>
            </a:avLst>
          </a:prstGeom>
          <a:noFill/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B23E62AF-0444-44F5-85DB-173349E38DFC}"/>
              </a:ext>
            </a:extLst>
          </xdr:cNvPr>
          <xdr:cNvSpPr/>
        </xdr:nvSpPr>
        <xdr:spPr>
          <a:xfrm>
            <a:off x="624840" y="1790700"/>
            <a:ext cx="1493520" cy="28956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AMOUNT</a:t>
            </a:r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11CF6F29-929A-4072-A85C-2D2C8F42E7FB}"/>
              </a:ext>
            </a:extLst>
          </xdr:cNvPr>
          <xdr:cNvSpPr/>
        </xdr:nvSpPr>
        <xdr:spPr>
          <a:xfrm>
            <a:off x="2202180" y="1744980"/>
            <a:ext cx="1493520" cy="34290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DEPOSIT</a:t>
            </a:r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FDCF6239-293D-44FD-AE8E-EEB6876081FC}"/>
              </a:ext>
            </a:extLst>
          </xdr:cNvPr>
          <xdr:cNvSpPr/>
        </xdr:nvSpPr>
        <xdr:spPr>
          <a:xfrm>
            <a:off x="601980" y="2857500"/>
            <a:ext cx="3139440" cy="35052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BALANCE</a:t>
            </a:r>
          </a:p>
        </xdr:txBody>
      </xdr:sp>
      <xdr:sp macro="" textlink="SupplierY!J19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9D273B16-E91F-48DA-BC23-422873B5279D}"/>
              </a:ext>
            </a:extLst>
          </xdr:cNvPr>
          <xdr:cNvSpPr/>
        </xdr:nvSpPr>
        <xdr:spPr>
          <a:xfrm>
            <a:off x="601980" y="3185160"/>
            <a:ext cx="3124200" cy="44958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9105E89-A5C6-4AB6-AC63-F73606AE08C5}" type="TxLink">
              <a:rPr lang="en-US" sz="1800" b="1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rPr>
              <a:pPr marL="0" indent="0" algn="ctr"/>
              <a:t>₦ 0.00</a:t>
            </a:fld>
            <a:endParaRPr lang="en-US" sz="1800" b="1" i="0" u="none" strike="noStrike">
              <a:solidFill>
                <a:sysClr val="windowText" lastClr="000000"/>
              </a:solidFill>
              <a:latin typeface="Times New Roman"/>
              <a:ea typeface="+mn-ea"/>
              <a:cs typeface="Times New Roman"/>
            </a:endParaRPr>
          </a:p>
        </xdr:txBody>
      </xdr:sp>
      <xdr:sp macro="" textlink="SupplierY!J7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23BDDF5F-35C0-442E-AF7D-BD80BB86573A}"/>
              </a:ext>
            </a:extLst>
          </xdr:cNvPr>
          <xdr:cNvSpPr/>
        </xdr:nvSpPr>
        <xdr:spPr>
          <a:xfrm>
            <a:off x="617220" y="2004060"/>
            <a:ext cx="1493520" cy="66294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A28F962-CC29-4359-AD07-4E354EBD9BB8}" type="TxLink">
              <a:rPr lang="en-US" sz="1400" b="1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rPr>
              <a:pPr marL="0" indent="0" algn="ctr"/>
              <a:t>₦ 0.00</a:t>
            </a:fld>
            <a:endParaRPr lang="en-US" sz="1400" b="1" i="0" u="none" strike="noStrike">
              <a:solidFill>
                <a:sysClr val="windowText" lastClr="000000"/>
              </a:solidFill>
              <a:latin typeface="Times New Roman"/>
              <a:ea typeface="+mn-ea"/>
              <a:cs typeface="Times New Roman"/>
            </a:endParaRPr>
          </a:p>
        </xdr:txBody>
      </xdr:sp>
      <xdr:sp macro="" textlink="SupplierY!J13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7415C4D6-83C0-4DDD-B1A9-CBE04BF22BE4}"/>
              </a:ext>
            </a:extLst>
          </xdr:cNvPr>
          <xdr:cNvSpPr/>
        </xdr:nvSpPr>
        <xdr:spPr>
          <a:xfrm>
            <a:off x="2125980" y="1973580"/>
            <a:ext cx="1493520" cy="685800"/>
          </a:xfrm>
          <a:prstGeom prst="roundRect">
            <a:avLst>
              <a:gd name="adj" fmla="val 390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338D702-8BF9-4C92-830F-8F973D7B8146}" type="TxLink">
              <a:rPr lang="en-US" sz="1400" b="1" i="0" u="none" strike="noStrike">
                <a:solidFill>
                  <a:sysClr val="windowText" lastClr="000000"/>
                </a:solidFill>
                <a:latin typeface="Times New Roman"/>
                <a:ea typeface="+mn-ea"/>
                <a:cs typeface="Times New Roman"/>
              </a:rPr>
              <a:pPr marL="0" indent="0" algn="ctr"/>
              <a:t>₦ 0.00</a:t>
            </a:fld>
            <a:endParaRPr lang="en-US" sz="1400" b="1" i="0" u="none" strike="noStrike">
              <a:solidFill>
                <a:sysClr val="windowText" lastClr="000000"/>
              </a:solidFill>
              <a:latin typeface="Times New Roman"/>
              <a:ea typeface="+mn-ea"/>
              <a:cs typeface="Times New Roman"/>
            </a:endParaRPr>
          </a:p>
        </xdr:txBody>
      </xdr:sp>
    </xdr:grpSp>
    <xdr:clientData/>
  </xdr:twoCellAnchor>
  <xdr:twoCellAnchor editAs="absolute">
    <xdr:from>
      <xdr:col>0</xdr:col>
      <xdr:colOff>548640</xdr:colOff>
      <xdr:row>22</xdr:row>
      <xdr:rowOff>76200</xdr:rowOff>
    </xdr:from>
    <xdr:to>
      <xdr:col>3</xdr:col>
      <xdr:colOff>304800</xdr:colOff>
      <xdr:row>26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E7162-F247-4D8E-B67A-128AF4575443}"/>
            </a:ext>
          </a:extLst>
        </xdr:cNvPr>
        <xdr:cNvSpPr/>
      </xdr:nvSpPr>
      <xdr:spPr>
        <a:xfrm>
          <a:off x="548640" y="4099560"/>
          <a:ext cx="1584960" cy="6553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GO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TO SUPPLIER X SHEET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3</xdr:col>
      <xdr:colOff>419100</xdr:colOff>
      <xdr:row>22</xdr:row>
      <xdr:rowOff>76200</xdr:rowOff>
    </xdr:from>
    <xdr:to>
      <xdr:col>6</xdr:col>
      <xdr:colOff>198120</xdr:colOff>
      <xdr:row>26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7934DB-F1CD-4C12-9303-CF0346E458C5}"/>
            </a:ext>
          </a:extLst>
        </xdr:cNvPr>
        <xdr:cNvSpPr/>
      </xdr:nvSpPr>
      <xdr:spPr>
        <a:xfrm>
          <a:off x="2247900" y="4099560"/>
          <a:ext cx="1607820" cy="6553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 TO SUPPLIER Y SHEET</a:t>
          </a:r>
        </a:p>
        <a:p>
          <a:pPr marL="0" indent="0" algn="ctr"/>
          <a:endParaRPr lang="en-US" sz="1400" b="1">
            <a:solidFill>
              <a:schemeClr val="lt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9</xdr:col>
      <xdr:colOff>251460</xdr:colOff>
      <xdr:row>22</xdr:row>
      <xdr:rowOff>76200</xdr:rowOff>
    </xdr:from>
    <xdr:to>
      <xdr:col>11</xdr:col>
      <xdr:colOff>586740</xdr:colOff>
      <xdr:row>26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4FBE2F-348F-436B-A1D7-C54BF764832C}"/>
            </a:ext>
          </a:extLst>
        </xdr:cNvPr>
        <xdr:cNvSpPr/>
      </xdr:nvSpPr>
      <xdr:spPr>
        <a:xfrm>
          <a:off x="5737860" y="4107180"/>
          <a:ext cx="1554480" cy="6553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WORKBOOK DESCRIPTION</a:t>
          </a:r>
        </a:p>
      </xdr:txBody>
    </xdr:sp>
    <xdr:clientData/>
  </xdr:twoCellAnchor>
  <xdr:twoCellAnchor editAs="absolute">
    <xdr:from>
      <xdr:col>6</xdr:col>
      <xdr:colOff>342900</xdr:colOff>
      <xdr:row>22</xdr:row>
      <xdr:rowOff>76200</xdr:rowOff>
    </xdr:from>
    <xdr:to>
      <xdr:col>9</xdr:col>
      <xdr:colOff>99060</xdr:colOff>
      <xdr:row>26</xdr:row>
      <xdr:rowOff>0</xdr:rowOff>
    </xdr:to>
    <xdr:sp macro="" textlink="">
      <xdr:nvSpPr>
        <xdr:cNvPr id="35" name="Rectangle: Rounded Corners 3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2BF579-2E8C-4FBC-9C96-A32BB82E6914}"/>
            </a:ext>
          </a:extLst>
        </xdr:cNvPr>
        <xdr:cNvSpPr/>
      </xdr:nvSpPr>
      <xdr:spPr>
        <a:xfrm>
          <a:off x="4000500" y="4099560"/>
          <a:ext cx="1584960" cy="6553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GO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TO INVENTORY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AB287C-9B04-4D07-8743-0FE4F6E6AF98}" name="Inventory" displayName="Inventory" ref="A4:E400" totalsRowShown="0" headerRowDxfId="8">
  <autoFilter ref="A4:E400" xr:uid="{31AB287C-9B04-4D07-8743-0FE4F6E6AF98}"/>
  <tableColumns count="5">
    <tableColumn id="1" xr3:uid="{37F5DFCE-6517-47D8-9BC4-BA7F58FEEA15}" name="Item" dataDxfId="3"/>
    <tableColumn id="2" xr3:uid="{10390B1F-7F4C-410C-9454-5C2C9B40D03C}" name=" Opening Stock" dataDxfId="2"/>
    <tableColumn id="3" xr3:uid="{4B12366B-FDFE-43DA-97A4-DBD9C16C4CDD}" name=" Quantity Received" dataDxfId="7">
      <calculatedColumnFormula>IF(A5="","",
    SUMIFS(SupplierX!D$6:D$452, SupplierX!C$6:C$452, A5, SupplierX!B$6:B$452, "Item Received")
    + SUMIFS(SupplierY!D$6:D$452, SupplierY!C$6:C$452, A5, SupplierY!B$6:B$452, "Item Received")
)</calculatedColumnFormula>
    </tableColumn>
    <tableColumn id="4" xr3:uid="{3779FF08-CFDA-4508-BF13-C69E1E6A2FC5}" name=" Quantity Used" dataDxfId="10"/>
    <tableColumn id="5" xr3:uid="{A4D8EAC1-08EF-4E99-8737-BFC0097BCADE}" name=" Closing Stock" dataDxfId="9">
      <calculatedColumnFormula>IF(Inventory[[#This Row],[Item]]="","",Inventory[[#This Row],[ Opening Stock]]+Inventory[[#This Row],[ Quantity Received]]-Inventory[[#This Row],[ Quantity Used]])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1B5A9-3363-4CDE-AD62-CA867F4C43E0}" name="TableX" displayName="TableX" ref="A3:G450" totalsRowShown="0" headerRowDxfId="6" dataDxfId="24" headerRowBorderDxfId="25">
  <autoFilter ref="A3:G450" xr:uid="{E3A1B5A9-3363-4CDE-AD62-CA867F4C43E0}"/>
  <tableColumns count="7">
    <tableColumn id="1" xr3:uid="{D593F056-84C9-457C-8243-DC7D6188F3C0}" name="Transaction Date_x000a_(yyyy-mm-dd)" dataDxfId="23"/>
    <tableColumn id="2" xr3:uid="{FB552798-522C-4C05-BCBF-C848701B5A09}" name="Transaction Type " dataDxfId="22"/>
    <tableColumn id="4" xr3:uid="{40BA1980-6C64-4C99-853D-B74F1F6BD7DE}" name="Item Received" dataDxfId="21"/>
    <tableColumn id="5" xr3:uid="{2666E36A-885B-4CD8-8BFE-F38AB7BABB52}" name="Quantity" dataDxfId="20"/>
    <tableColumn id="6" xr3:uid="{AAA56DF3-D9C6-4F12-889A-817A63D1FA84}" name="Price Per Unit_x000a_₦" dataDxfId="19"/>
    <tableColumn id="7" xr3:uid="{82CAE59D-1238-4191-9360-E4DC39FCED07}" name="Amount_x000a_₦" dataDxfId="1">
      <calculatedColumnFormula>IF(OR(D4="", E4=""), "", D4*E4)</calculatedColumnFormula>
    </tableColumn>
    <tableColumn id="9" xr3:uid="{E78C09EA-10ED-4C23-B115-DFD33899BBD4}" name="Deposit_x000a_₦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BFB6DC-8758-47E6-8C34-579496D4FE5F}" name="TableY" displayName="TableY" ref="A3:G450" totalsRowShown="0" headerRowDxfId="5" dataDxfId="17" headerRowBorderDxfId="18">
  <autoFilter ref="A3:G450" xr:uid="{E3A1B5A9-3363-4CDE-AD62-CA867F4C43E0}"/>
  <tableColumns count="7">
    <tableColumn id="1" xr3:uid="{39714FEA-FEAE-4254-826E-94EBA56A4D25}" name="Transaction Date_x000a_(yyyy-mm-dd)" dataDxfId="16"/>
    <tableColumn id="2" xr3:uid="{40AC20F2-B79E-47A1-A1A7-D617C832AE33}" name="Transaction Type " dataDxfId="15"/>
    <tableColumn id="4" xr3:uid="{7062E008-EB80-4F75-AE12-FE136CA50C1A}" name="Item Received" dataDxfId="14"/>
    <tableColumn id="5" xr3:uid="{ADC8DD2D-F28C-4CB7-8369-56061CFFFFD0}" name="Quantity" dataDxfId="13"/>
    <tableColumn id="6" xr3:uid="{A07E471B-594F-417A-8128-FE281CBFC15A}" name="Price Per Unit_x000a_(₦)" dataDxfId="12"/>
    <tableColumn id="7" xr3:uid="{418EE8F2-86C6-495E-8923-E3A4750BF3B5}" name="Amount_x000a_(₦)" dataDxfId="11">
      <calculatedColumnFormula>IF(OR(D4="", E4=""), "", D4*E4)</calculatedColumnFormula>
    </tableColumn>
    <tableColumn id="9" xr3:uid="{3DA66C9B-5391-4381-A1E5-1A1206E06F8D}" name="Deposit_x000a_(₦)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9B89-4E42-4B18-A7B1-214EBE7B6370}">
  <dimension ref="A1:N44"/>
  <sheetViews>
    <sheetView showGridLines="0" showRowColHeaders="0" workbookViewId="0">
      <selection activeCell="D37" sqref="D37"/>
    </sheetView>
  </sheetViews>
  <sheetFormatPr defaultColWidth="0" defaultRowHeight="15" thickBottom="1" x14ac:dyDescent="0.35"/>
  <cols>
    <col min="1" max="13" width="8.88671875" customWidth="1"/>
    <col min="14" max="16384" width="8.88671875" hidden="1"/>
  </cols>
  <sheetData>
    <row r="1" spans="1:14" s="10" customFormat="1" thickBot="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1"/>
    </row>
    <row r="2" spans="1:14" s="10" customFormat="1" ht="14.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1"/>
    </row>
    <row r="3" spans="1:14" s="9" customFormat="1" ht="14.4" x14ac:dyDescent="0.3"/>
    <row r="4" spans="1:14" s="9" customFormat="1" ht="14.4" x14ac:dyDescent="0.3"/>
    <row r="5" spans="1:14" s="9" customFormat="1" ht="14.4" x14ac:dyDescent="0.3"/>
    <row r="6" spans="1:14" s="9" customFormat="1" ht="14.4" x14ac:dyDescent="0.3"/>
    <row r="7" spans="1:14" s="9" customFormat="1" ht="14.4" x14ac:dyDescent="0.3"/>
    <row r="8" spans="1:14" s="9" customFormat="1" ht="14.4" x14ac:dyDescent="0.3"/>
    <row r="9" spans="1:14" s="9" customFormat="1" ht="14.4" x14ac:dyDescent="0.3"/>
    <row r="10" spans="1:14" s="9" customFormat="1" ht="14.4" x14ac:dyDescent="0.3"/>
    <row r="11" spans="1:14" s="9" customFormat="1" ht="14.4" x14ac:dyDescent="0.3"/>
    <row r="12" spans="1:14" s="9" customFormat="1" ht="14.4" x14ac:dyDescent="0.3"/>
    <row r="13" spans="1:14" s="9" customFormat="1" ht="14.4" x14ac:dyDescent="0.3"/>
    <row r="14" spans="1:14" s="9" customFormat="1" ht="14.4" x14ac:dyDescent="0.3"/>
    <row r="15" spans="1:14" s="9" customFormat="1" ht="14.4" x14ac:dyDescent="0.3"/>
    <row r="16" spans="1:14" s="9" customFormat="1" ht="14.4" x14ac:dyDescent="0.3"/>
    <row r="17" s="9" customFormat="1" ht="14.4" x14ac:dyDescent="0.3"/>
    <row r="18" s="9" customFormat="1" ht="14.4" x14ac:dyDescent="0.3"/>
    <row r="19" s="9" customFormat="1" ht="14.4" x14ac:dyDescent="0.3"/>
    <row r="20" s="9" customFormat="1" ht="14.4" x14ac:dyDescent="0.3"/>
    <row r="21" s="9" customFormat="1" ht="14.4" x14ac:dyDescent="0.3"/>
    <row r="22" s="9" customFormat="1" ht="14.4" x14ac:dyDescent="0.3"/>
    <row r="23" s="9" customFormat="1" ht="14.4" x14ac:dyDescent="0.3"/>
    <row r="24" s="9" customFormat="1" ht="14.4" x14ac:dyDescent="0.3"/>
    <row r="25" s="9" customFormat="1" ht="14.4" x14ac:dyDescent="0.3"/>
    <row r="26" s="9" customFormat="1" ht="14.4" x14ac:dyDescent="0.3"/>
    <row r="27" s="9" customFormat="1" ht="14.4" x14ac:dyDescent="0.3"/>
    <row r="28" s="9" customFormat="1" ht="14.4" x14ac:dyDescent="0.3"/>
    <row r="29" s="9" customFormat="1" ht="14.4" x14ac:dyDescent="0.3"/>
    <row r="30" s="9" customFormat="1" ht="14.4" x14ac:dyDescent="0.3"/>
    <row r="31" s="9" customFormat="1" ht="14.4" x14ac:dyDescent="0.3"/>
    <row r="32" s="9" customFormat="1" ht="14.4" x14ac:dyDescent="0.3"/>
    <row r="33" s="9" customFormat="1" ht="14.4" x14ac:dyDescent="0.3"/>
    <row r="34" s="9" customFormat="1" ht="14.4" x14ac:dyDescent="0.3"/>
    <row r="35" s="9" customFormat="1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</sheetData>
  <sheetProtection sheet="1" objects="1" scenarios="1" selectLockedCells="1"/>
  <printOptions gridLines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A2AE-0214-4FD6-8608-0839F35B69A4}">
  <dimension ref="A1:E400"/>
  <sheetViews>
    <sheetView workbookViewId="0">
      <pane ySplit="4" topLeftCell="A5" activePane="bottomLeft" state="frozen"/>
      <selection pane="bottomLeft" activeCell="A5" sqref="A5:B24 D5:D9 D11:D24"/>
    </sheetView>
  </sheetViews>
  <sheetFormatPr defaultColWidth="0" defaultRowHeight="14.4" zeroHeight="1" x14ac:dyDescent="0.3"/>
  <cols>
    <col min="1" max="1" width="13.21875" bestFit="1" customWidth="1"/>
    <col min="2" max="2" width="16" bestFit="1" customWidth="1"/>
    <col min="3" max="3" width="19.109375" bestFit="1" customWidth="1"/>
    <col min="4" max="4" width="15.77734375" bestFit="1" customWidth="1"/>
    <col min="5" max="5" width="14.77734375" bestFit="1" customWidth="1"/>
    <col min="6" max="16384" width="8.88671875" hidden="1"/>
  </cols>
  <sheetData>
    <row r="1" spans="1:5" ht="14.4" customHeight="1" x14ac:dyDescent="0.3">
      <c r="A1" s="20" t="s">
        <v>12</v>
      </c>
      <c r="B1" s="20"/>
      <c r="C1" s="20"/>
      <c r="D1" s="20"/>
      <c r="E1" s="20"/>
    </row>
    <row r="2" spans="1:5" x14ac:dyDescent="0.3">
      <c r="A2" s="20"/>
      <c r="B2" s="20"/>
      <c r="C2" s="20"/>
      <c r="D2" s="20"/>
      <c r="E2" s="20"/>
    </row>
    <row r="3" spans="1:5" ht="24.6" customHeight="1" x14ac:dyDescent="0.3">
      <c r="A3" s="20"/>
      <c r="B3" s="20"/>
      <c r="C3" s="20"/>
      <c r="D3" s="20"/>
      <c r="E3" s="20"/>
    </row>
    <row r="4" spans="1:5" ht="15.6" x14ac:dyDescent="0.3">
      <c r="A4" s="41" t="s">
        <v>5</v>
      </c>
      <c r="B4" s="8" t="s">
        <v>6</v>
      </c>
      <c r="C4" s="8" t="s">
        <v>7</v>
      </c>
      <c r="D4" s="8" t="s">
        <v>8</v>
      </c>
      <c r="E4" s="8" t="s">
        <v>9</v>
      </c>
    </row>
    <row r="5" spans="1:5" x14ac:dyDescent="0.3">
      <c r="A5" s="43"/>
      <c r="B5" s="43"/>
      <c r="C5" s="18" t="str">
        <f>IF(A5="","",
    SUMIFS(SupplierX!D$6:D$452, SupplierX!C$6:C$452, A5, SupplierX!B$6:B$452, "Item Received")
    + SUMIFS(SupplierY!D$6:D$452, SupplierY!C$6:C$452, A5, SupplierY!B$6:B$452, "Item Received")
)</f>
        <v/>
      </c>
      <c r="D5" s="8"/>
      <c r="E5" s="18" t="str">
        <f>IF(Inventory[[#This Row],[Item]]="","",Inventory[[#This Row],[ Opening Stock]]+Inventory[[#This Row],[ Quantity Received]]-Inventory[[#This Row],[ Quantity Used]])</f>
        <v/>
      </c>
    </row>
    <row r="6" spans="1:5" x14ac:dyDescent="0.3">
      <c r="A6" s="43"/>
      <c r="B6" s="43"/>
      <c r="C6" s="18" t="str">
        <f>IF(A6="","",
    SUMIFS(SupplierX!D$6:D$452, SupplierX!C$6:C$452, A6, SupplierX!B$6:B$452, "Item Received")
    + SUMIFS(SupplierY!D$6:D$452, SupplierY!C$6:C$452, A6, SupplierY!B$6:B$452, "Item Received")
)</f>
        <v/>
      </c>
      <c r="D6" s="8"/>
      <c r="E6" s="18" t="str">
        <f>IF(Inventory[[#This Row],[Item]]="","",Inventory[[#This Row],[ Opening Stock]]+Inventory[[#This Row],[ Quantity Received]]-Inventory[[#This Row],[ Quantity Used]])</f>
        <v/>
      </c>
    </row>
    <row r="7" spans="1:5" x14ac:dyDescent="0.3">
      <c r="A7" s="43"/>
      <c r="B7" s="43"/>
      <c r="C7" s="18" t="str">
        <f>IF(A7="","",
    SUMIFS(SupplierX!D$6:D$452, SupplierX!C$6:C$452, A7, SupplierX!B$6:B$452, "Item Received")
    + SUMIFS(SupplierY!D$6:D$452, SupplierY!C$6:C$452, A7, SupplierY!B$6:B$452, "Item Received")
)</f>
        <v/>
      </c>
      <c r="D7" s="8"/>
      <c r="E7" s="18" t="str">
        <f>IF(Inventory[[#This Row],[Item]]="","",Inventory[[#This Row],[ Opening Stock]]+Inventory[[#This Row],[ Quantity Received]]-Inventory[[#This Row],[ Quantity Used]])</f>
        <v/>
      </c>
    </row>
    <row r="8" spans="1:5" x14ac:dyDescent="0.3">
      <c r="A8" s="43"/>
      <c r="B8" s="43"/>
      <c r="C8" s="18" t="str">
        <f>IF(A8="","",
    SUMIFS(SupplierX!D$6:D$452, SupplierX!C$6:C$452, A8, SupplierX!B$6:B$452, "Item Received")
    + SUMIFS(SupplierY!D$6:D$452, SupplierY!C$6:C$452, A8, SupplierY!B$6:B$452, "Item Received")
)</f>
        <v/>
      </c>
      <c r="D8" s="8"/>
      <c r="E8" s="18" t="str">
        <f>IF(Inventory[[#This Row],[Item]]="","",Inventory[[#This Row],[ Opening Stock]]+Inventory[[#This Row],[ Quantity Received]]-Inventory[[#This Row],[ Quantity Used]])</f>
        <v/>
      </c>
    </row>
    <row r="9" spans="1:5" x14ac:dyDescent="0.3">
      <c r="A9" s="43"/>
      <c r="B9" s="43"/>
      <c r="C9" s="18" t="str">
        <f>IF(A9="","",
    SUMIFS(SupplierX!D$6:D$452, SupplierX!C$6:C$452, A9, SupplierX!B$6:B$452, "Item Received")
    + SUMIFS(SupplierY!D$6:D$452, SupplierY!C$6:C$452, A9, SupplierY!B$6:B$452, "Item Received")
)</f>
        <v/>
      </c>
      <c r="D9" s="8"/>
      <c r="E9" s="18" t="str">
        <f>IF(Inventory[[#This Row],[Item]]="","",Inventory[[#This Row],[ Opening Stock]]+Inventory[[#This Row],[ Quantity Received]]-Inventory[[#This Row],[ Quantity Used]])</f>
        <v/>
      </c>
    </row>
    <row r="10" spans="1:5" x14ac:dyDescent="0.3">
      <c r="A10" s="43"/>
      <c r="B10" s="43"/>
      <c r="C10" s="18" t="str">
        <f>IF(A10="","",
    SUMIFS(SupplierX!D$6:D$452, SupplierX!C$6:C$452, A10, SupplierX!B$6:B$452, "Item Received")
    + SUMIFS(SupplierY!D$6:D$452, SupplierY!C$6:C$452, A10, SupplierY!B$6:B$452, "Item Received")
)</f>
        <v/>
      </c>
      <c r="D10" s="8"/>
      <c r="E10" s="18" t="str">
        <f>IF(Inventory[[#This Row],[Item]]="","",Inventory[[#This Row],[ Opening Stock]]+Inventory[[#This Row],[ Quantity Received]]-Inventory[[#This Row],[ Quantity Used]])</f>
        <v/>
      </c>
    </row>
    <row r="11" spans="1:5" x14ac:dyDescent="0.3">
      <c r="A11" s="43"/>
      <c r="B11" s="43"/>
      <c r="C11" s="18" t="str">
        <f>IF(A11="","",
    SUMIFS(SupplierX!D$6:D$452, SupplierX!C$6:C$452, A11, SupplierX!B$6:B$452, "Item Received")
    + SUMIFS(SupplierY!D$6:D$452, SupplierY!C$6:C$452, A11, SupplierY!B$6:B$452, "Item Received")
)</f>
        <v/>
      </c>
      <c r="D11" s="8"/>
      <c r="E11" s="18" t="str">
        <f>IF(Inventory[[#This Row],[Item]]="","",Inventory[[#This Row],[ Opening Stock]]+Inventory[[#This Row],[ Quantity Received]]-Inventory[[#This Row],[ Quantity Used]])</f>
        <v/>
      </c>
    </row>
    <row r="12" spans="1:5" x14ac:dyDescent="0.3">
      <c r="A12" s="43"/>
      <c r="B12" s="43"/>
      <c r="C12" s="18" t="str">
        <f>IF(A12="","",
    SUMIFS(SupplierX!D$6:D$452, SupplierX!C$6:C$452, A12, SupplierX!B$6:B$452, "Item Received")
    + SUMIFS(SupplierY!D$6:D$452, SupplierY!C$6:C$452, A12, SupplierY!B$6:B$452, "Item Received")
)</f>
        <v/>
      </c>
      <c r="D12" s="8"/>
      <c r="E12" s="18" t="str">
        <f>IF(Inventory[[#This Row],[Item]]="","",Inventory[[#This Row],[ Opening Stock]]+Inventory[[#This Row],[ Quantity Received]]-Inventory[[#This Row],[ Quantity Used]])</f>
        <v/>
      </c>
    </row>
    <row r="13" spans="1:5" x14ac:dyDescent="0.3">
      <c r="A13" s="43"/>
      <c r="B13" s="43"/>
      <c r="C13" s="18" t="str">
        <f>IF(A13="","",
    SUMIFS(SupplierX!D$6:D$452, SupplierX!C$6:C$452, A13, SupplierX!B$6:B$452, "Item Received")
    + SUMIFS(SupplierY!D$6:D$452, SupplierY!C$6:C$452, A13, SupplierY!B$6:B$452, "Item Received")
)</f>
        <v/>
      </c>
      <c r="D13" s="8"/>
      <c r="E13" s="18" t="str">
        <f>IF(Inventory[[#This Row],[Item]]="","",Inventory[[#This Row],[ Opening Stock]]+Inventory[[#This Row],[ Quantity Received]]-Inventory[[#This Row],[ Quantity Used]])</f>
        <v/>
      </c>
    </row>
    <row r="14" spans="1:5" x14ac:dyDescent="0.3">
      <c r="A14" s="43"/>
      <c r="B14" s="43"/>
      <c r="C14" s="18" t="str">
        <f>IF(A14="","",
    SUMIFS(SupplierX!D$6:D$452, SupplierX!C$6:C$452, A14, SupplierX!B$6:B$452, "Item Received")
    + SUMIFS(SupplierY!D$6:D$452, SupplierY!C$6:C$452, A14, SupplierY!B$6:B$452, "Item Received")
)</f>
        <v/>
      </c>
      <c r="D14" s="8"/>
      <c r="E14" s="18" t="str">
        <f>IF(Inventory[[#This Row],[Item]]="","",Inventory[[#This Row],[ Opening Stock]]+Inventory[[#This Row],[ Quantity Received]]-Inventory[[#This Row],[ Quantity Used]])</f>
        <v/>
      </c>
    </row>
    <row r="15" spans="1:5" x14ac:dyDescent="0.3">
      <c r="A15" s="43"/>
      <c r="B15" s="43"/>
      <c r="C15" s="18" t="str">
        <f>IF(A15="","",
    SUMIFS(SupplierX!D$6:D$452, SupplierX!C$6:C$452, A15, SupplierX!B$6:B$452, "Item Received")
    + SUMIFS(SupplierY!D$6:D$452, SupplierY!C$6:C$452, A15, SupplierY!B$6:B$452, "Item Received")
)</f>
        <v/>
      </c>
      <c r="D15" s="8"/>
      <c r="E15" s="18" t="str">
        <f>IF(Inventory[[#This Row],[Item]]="","",Inventory[[#This Row],[ Opening Stock]]+Inventory[[#This Row],[ Quantity Received]]-Inventory[[#This Row],[ Quantity Used]])</f>
        <v/>
      </c>
    </row>
    <row r="16" spans="1:5" x14ac:dyDescent="0.3">
      <c r="A16" s="43"/>
      <c r="B16" s="43"/>
      <c r="C16" s="18" t="str">
        <f>IF(A16="","",
    SUMIFS(SupplierX!D$6:D$452, SupplierX!C$6:C$452, A16, SupplierX!B$6:B$452, "Item Received")
    + SUMIFS(SupplierY!D$6:D$452, SupplierY!C$6:C$452, A16, SupplierY!B$6:B$452, "Item Received")
)</f>
        <v/>
      </c>
      <c r="D16" s="8"/>
      <c r="E16" s="18" t="str">
        <f>IF(Inventory[[#This Row],[Item]]="","",Inventory[[#This Row],[ Opening Stock]]+Inventory[[#This Row],[ Quantity Received]]-Inventory[[#This Row],[ Quantity Used]])</f>
        <v/>
      </c>
    </row>
    <row r="17" spans="1:5" x14ac:dyDescent="0.3">
      <c r="A17" s="43"/>
      <c r="B17" s="43"/>
      <c r="C17" s="18" t="str">
        <f>IF(A17="","",
    SUMIFS(SupplierX!D$6:D$452, SupplierX!C$6:C$452, A17, SupplierX!B$6:B$452, "Item Received")
    + SUMIFS(SupplierY!D$6:D$452, SupplierY!C$6:C$452, A17, SupplierY!B$6:B$452, "Item Received")
)</f>
        <v/>
      </c>
      <c r="D17" s="8"/>
      <c r="E17" s="18" t="str">
        <f>IF(Inventory[[#This Row],[Item]]="","",Inventory[[#This Row],[ Opening Stock]]+Inventory[[#This Row],[ Quantity Received]]-Inventory[[#This Row],[ Quantity Used]])</f>
        <v/>
      </c>
    </row>
    <row r="18" spans="1:5" x14ac:dyDescent="0.3">
      <c r="A18" s="43"/>
      <c r="B18" s="43"/>
      <c r="C18" s="18" t="str">
        <f>IF(A18="","",
    SUMIFS(SupplierX!D$6:D$452, SupplierX!C$6:C$452, A18, SupplierX!B$6:B$452, "Item Received")
    + SUMIFS(SupplierY!D$6:D$452, SupplierY!C$6:C$452, A18, SupplierY!B$6:B$452, "Item Received")
)</f>
        <v/>
      </c>
      <c r="D18" s="8"/>
      <c r="E18" s="18" t="str">
        <f>IF(Inventory[[#This Row],[Item]]="","",Inventory[[#This Row],[ Opening Stock]]+Inventory[[#This Row],[ Quantity Received]]-Inventory[[#This Row],[ Quantity Used]])</f>
        <v/>
      </c>
    </row>
    <row r="19" spans="1:5" x14ac:dyDescent="0.3">
      <c r="A19" s="43"/>
      <c r="B19" s="43"/>
      <c r="C19" s="18" t="str">
        <f>IF(A19="","",
    SUMIFS(SupplierX!D$6:D$452, SupplierX!C$6:C$452, A19, SupplierX!B$6:B$452, "Item Received")
    + SUMIFS(SupplierY!D$6:D$452, SupplierY!C$6:C$452, A19, SupplierY!B$6:B$452, "Item Received")
)</f>
        <v/>
      </c>
      <c r="D19" s="8"/>
      <c r="E19" s="18" t="str">
        <f>IF(Inventory[[#This Row],[Item]]="","",Inventory[[#This Row],[ Opening Stock]]+Inventory[[#This Row],[ Quantity Received]]-Inventory[[#This Row],[ Quantity Used]])</f>
        <v/>
      </c>
    </row>
    <row r="20" spans="1:5" x14ac:dyDescent="0.3">
      <c r="A20" s="43"/>
      <c r="B20" s="43"/>
      <c r="C20" s="18" t="str">
        <f>IF(A20="","",
    SUMIFS(SupplierX!D$6:D$452, SupplierX!C$6:C$452, A20, SupplierX!B$6:B$452, "Item Received")
    + SUMIFS(SupplierY!D$6:D$452, SupplierY!C$6:C$452, A20, SupplierY!B$6:B$452, "Item Received")
)</f>
        <v/>
      </c>
      <c r="D20" s="8"/>
      <c r="E20" s="18" t="str">
        <f>IF(Inventory[[#This Row],[Item]]="","",Inventory[[#This Row],[ Opening Stock]]+Inventory[[#This Row],[ Quantity Received]]-Inventory[[#This Row],[ Quantity Used]])</f>
        <v/>
      </c>
    </row>
    <row r="21" spans="1:5" x14ac:dyDescent="0.3">
      <c r="A21" s="43"/>
      <c r="B21" s="43"/>
      <c r="C21" s="18" t="str">
        <f>IF(A21="","",
    SUMIFS(SupplierX!D$6:D$452, SupplierX!C$6:C$452, A21, SupplierX!B$6:B$452, "Item Received")
    + SUMIFS(SupplierY!D$6:D$452, SupplierY!C$6:C$452, A21, SupplierY!B$6:B$452, "Item Received")
)</f>
        <v/>
      </c>
      <c r="D21" s="8"/>
      <c r="E21" s="18" t="str">
        <f>IF(Inventory[[#This Row],[Item]]="","",Inventory[[#This Row],[ Opening Stock]]+Inventory[[#This Row],[ Quantity Received]]-Inventory[[#This Row],[ Quantity Used]])</f>
        <v/>
      </c>
    </row>
    <row r="22" spans="1:5" x14ac:dyDescent="0.3">
      <c r="A22" s="43"/>
      <c r="B22" s="43"/>
      <c r="C22" s="18" t="str">
        <f>IF(A22="","",
    SUMIFS(SupplierX!D$6:D$452, SupplierX!C$6:C$452, A22, SupplierX!B$6:B$452, "Item Received")
    + SUMIFS(SupplierY!D$6:D$452, SupplierY!C$6:C$452, A22, SupplierY!B$6:B$452, "Item Received")
)</f>
        <v/>
      </c>
      <c r="D22" s="8"/>
      <c r="E22" s="18" t="str">
        <f>IF(Inventory[[#This Row],[Item]]="","",Inventory[[#This Row],[ Opening Stock]]+Inventory[[#This Row],[ Quantity Received]]-Inventory[[#This Row],[ Quantity Used]])</f>
        <v/>
      </c>
    </row>
    <row r="23" spans="1:5" x14ac:dyDescent="0.3">
      <c r="A23" s="43"/>
      <c r="B23" s="43"/>
      <c r="C23" s="18" t="str">
        <f>IF(A23="","",
    SUMIFS(SupplierX!D$6:D$452, SupplierX!C$6:C$452, A23, SupplierX!B$6:B$452, "Item Received")
    + SUMIFS(SupplierY!D$6:D$452, SupplierY!C$6:C$452, A23, SupplierY!B$6:B$452, "Item Received")
)</f>
        <v/>
      </c>
      <c r="D23" s="8"/>
      <c r="E23" s="18" t="str">
        <f>IF(Inventory[[#This Row],[Item]]="","",Inventory[[#This Row],[ Opening Stock]]+Inventory[[#This Row],[ Quantity Received]]-Inventory[[#This Row],[ Quantity Used]])</f>
        <v/>
      </c>
    </row>
    <row r="24" spans="1:5" x14ac:dyDescent="0.3">
      <c r="A24" s="43"/>
      <c r="B24" s="43"/>
      <c r="C24" s="18" t="str">
        <f>IF(A24="","",
    SUMIFS(SupplierX!D$6:D$452, SupplierX!C$6:C$452, A24, SupplierX!B$6:B$452, "Item Received")
    + SUMIFS(SupplierY!D$6:D$452, SupplierY!C$6:C$452, A24, SupplierY!B$6:B$452, "Item Received")
)</f>
        <v/>
      </c>
      <c r="D24" s="8"/>
      <c r="E24" s="18" t="str">
        <f>IF(Inventory[[#This Row],[Item]]="","",Inventory[[#This Row],[ Opening Stock]]+Inventory[[#This Row],[ Quantity Received]]-Inventory[[#This Row],[ Quantity Used]])</f>
        <v/>
      </c>
    </row>
    <row r="25" spans="1:5" x14ac:dyDescent="0.3">
      <c r="A25" s="8"/>
      <c r="B25" s="8"/>
      <c r="C25" s="18" t="str">
        <f>IF(A25="","",
    SUMIFS(SupplierX!D$6:D$452, SupplierX!C$6:C$452, A25, SupplierX!B$6:B$452, "Item Received")
    + SUMIFS(SupplierY!D$6:D$452, SupplierY!C$6:C$452, A25, SupplierY!B$6:B$452, "Item Received")
)</f>
        <v/>
      </c>
      <c r="D25" s="8"/>
      <c r="E25" s="18" t="str">
        <f>IF(Inventory[[#This Row],[Item]]="","",Inventory[[#This Row],[ Opening Stock]]+Inventory[[#This Row],[ Quantity Received]]-Inventory[[#This Row],[ Quantity Used]])</f>
        <v/>
      </c>
    </row>
    <row r="26" spans="1:5" x14ac:dyDescent="0.3">
      <c r="A26" s="8"/>
      <c r="B26" s="8"/>
      <c r="C26" s="18" t="str">
        <f>IF(A26="","",
    SUMIFS(SupplierX!D$6:D$452, SupplierX!C$6:C$452, A26, SupplierX!B$6:B$452, "Item Received")
    + SUMIFS(SupplierY!D$6:D$452, SupplierY!C$6:C$452, A26, SupplierY!B$6:B$452, "Item Received")
)</f>
        <v/>
      </c>
      <c r="D26" s="8"/>
      <c r="E26" s="18" t="str">
        <f>IF(Inventory[[#This Row],[Item]]="","",Inventory[[#This Row],[ Opening Stock]]+Inventory[[#This Row],[ Quantity Received]]-Inventory[[#This Row],[ Quantity Used]])</f>
        <v/>
      </c>
    </row>
    <row r="27" spans="1:5" x14ac:dyDescent="0.3">
      <c r="A27" s="8"/>
      <c r="B27" s="8"/>
      <c r="C27" s="18" t="str">
        <f>IF(A27="","",
    SUMIFS(SupplierX!D$6:D$452, SupplierX!C$6:C$452, A27, SupplierX!B$6:B$452, "Item Received")
    + SUMIFS(SupplierY!D$6:D$452, SupplierY!C$6:C$452, A27, SupplierY!B$6:B$452, "Item Received")
)</f>
        <v/>
      </c>
      <c r="D27" s="8"/>
      <c r="E27" s="18" t="str">
        <f>IF(Inventory[[#This Row],[Item]]="","",Inventory[[#This Row],[ Opening Stock]]+Inventory[[#This Row],[ Quantity Received]]-Inventory[[#This Row],[ Quantity Used]])</f>
        <v/>
      </c>
    </row>
    <row r="28" spans="1:5" x14ac:dyDescent="0.3">
      <c r="A28" s="8"/>
      <c r="B28" s="8"/>
      <c r="C28" s="18" t="str">
        <f>IF(A28="","",
    SUMIFS(SupplierX!D$6:D$452, SupplierX!C$6:C$452, A28, SupplierX!B$6:B$452, "Item Received")
    + SUMIFS(SupplierY!D$6:D$452, SupplierY!C$6:C$452, A28, SupplierY!B$6:B$452, "Item Received")
)</f>
        <v/>
      </c>
      <c r="D28" s="8"/>
      <c r="E28" s="13" t="str">
        <f>IF(Inventory[[#This Row],[Item]]="","",Inventory[[#This Row],[ Opening Stock]]+Inventory[[#This Row],[ Quantity Received]]-Inventory[[#This Row],[ Quantity Used]])</f>
        <v/>
      </c>
    </row>
    <row r="29" spans="1:5" x14ac:dyDescent="0.3">
      <c r="A29" s="8"/>
      <c r="B29" s="8"/>
      <c r="C29" s="18" t="str">
        <f>IF(A29="","",
    SUMIFS(SupplierX!D$6:D$452, SupplierX!C$6:C$452, A29, SupplierX!B$6:B$452, "Item Received")
    + SUMIFS(SupplierY!D$6:D$452, SupplierY!C$6:C$452, A29, SupplierY!B$6:B$452, "Item Received")
)</f>
        <v/>
      </c>
      <c r="D29" s="8"/>
      <c r="E29" s="13" t="str">
        <f>IF(Inventory[[#This Row],[Item]]="","",Inventory[[#This Row],[ Opening Stock]]+Inventory[[#This Row],[ Quantity Received]]-Inventory[[#This Row],[ Quantity Used]])</f>
        <v/>
      </c>
    </row>
    <row r="30" spans="1:5" x14ac:dyDescent="0.3">
      <c r="A30" s="8"/>
      <c r="B30" s="8"/>
      <c r="C30" s="18" t="str">
        <f>IF(A30="","",
    SUMIFS(SupplierX!D$6:D$452, SupplierX!C$6:C$452, A30, SupplierX!B$6:B$452, "Item Received")
    + SUMIFS(SupplierY!D$6:D$452, SupplierY!C$6:C$452, A30, SupplierY!B$6:B$452, "Item Received")
)</f>
        <v/>
      </c>
      <c r="D30" s="8"/>
      <c r="E30" s="13" t="str">
        <f>IF(Inventory[[#This Row],[Item]]="","",Inventory[[#This Row],[ Opening Stock]]+Inventory[[#This Row],[ Quantity Received]]-Inventory[[#This Row],[ Quantity Used]])</f>
        <v/>
      </c>
    </row>
    <row r="31" spans="1:5" x14ac:dyDescent="0.3">
      <c r="A31" s="8"/>
      <c r="B31" s="8"/>
      <c r="C31" s="18" t="str">
        <f>IF(A31="","",
    SUMIFS(SupplierX!D$6:D$452, SupplierX!C$6:C$452, A31, SupplierX!B$6:B$452, "Item Received")
    + SUMIFS(SupplierY!D$6:D$452, SupplierY!C$6:C$452, A31, SupplierY!B$6:B$452, "Item Received")
)</f>
        <v/>
      </c>
      <c r="D31" s="8"/>
      <c r="E31" s="13" t="str">
        <f>IF(Inventory[[#This Row],[Item]]="","",Inventory[[#This Row],[ Opening Stock]]+Inventory[[#This Row],[ Quantity Received]]-Inventory[[#This Row],[ Quantity Used]])</f>
        <v/>
      </c>
    </row>
    <row r="32" spans="1:5" x14ac:dyDescent="0.3">
      <c r="A32" s="8"/>
      <c r="B32" s="8"/>
      <c r="C32" s="18" t="str">
        <f>IF(A32="","",
    SUMIFS(SupplierX!D$6:D$452, SupplierX!C$6:C$452, A32, SupplierX!B$6:B$452, "Item Received")
    + SUMIFS(SupplierY!D$6:D$452, SupplierY!C$6:C$452, A32, SupplierY!B$6:B$452, "Item Received")
)</f>
        <v/>
      </c>
      <c r="D32" s="8"/>
      <c r="E32" s="13" t="str">
        <f>IF(Inventory[[#This Row],[Item]]="","",Inventory[[#This Row],[ Opening Stock]]+Inventory[[#This Row],[ Quantity Received]]-Inventory[[#This Row],[ Quantity Used]])</f>
        <v/>
      </c>
    </row>
    <row r="33" spans="1:5" x14ac:dyDescent="0.3">
      <c r="A33" s="8"/>
      <c r="B33" s="8"/>
      <c r="C33" s="18" t="str">
        <f>IF(A33="","",
    SUMIFS(SupplierX!D$6:D$452, SupplierX!C$6:C$452, A33, SupplierX!B$6:B$452, "Item Received")
    + SUMIFS(SupplierY!D$6:D$452, SupplierY!C$6:C$452, A33, SupplierY!B$6:B$452, "Item Received")
)</f>
        <v/>
      </c>
      <c r="D33" s="8"/>
      <c r="E33" s="13" t="str">
        <f>IF(Inventory[[#This Row],[Item]]="","",Inventory[[#This Row],[ Opening Stock]]+Inventory[[#This Row],[ Quantity Received]]-Inventory[[#This Row],[ Quantity Used]])</f>
        <v/>
      </c>
    </row>
    <row r="34" spans="1:5" x14ac:dyDescent="0.3">
      <c r="A34" s="8"/>
      <c r="B34" s="8"/>
      <c r="C34" s="18" t="str">
        <f>IF(A34="","",
    SUMIFS(SupplierX!D$6:D$452, SupplierX!C$6:C$452, A34, SupplierX!B$6:B$452, "Item Received")
    + SUMIFS(SupplierY!D$6:D$452, SupplierY!C$6:C$452, A34, SupplierY!B$6:B$452, "Item Received")
)</f>
        <v/>
      </c>
      <c r="D34" s="8"/>
      <c r="E34" s="13" t="str">
        <f>IF(Inventory[[#This Row],[Item]]="","",Inventory[[#This Row],[ Opening Stock]]+Inventory[[#This Row],[ Quantity Received]]-Inventory[[#This Row],[ Quantity Used]])</f>
        <v/>
      </c>
    </row>
    <row r="35" spans="1:5" x14ac:dyDescent="0.3">
      <c r="A35" s="8"/>
      <c r="B35" s="8"/>
      <c r="C35" s="18" t="str">
        <f>IF(A35="","",
    SUMIFS(SupplierX!D$6:D$452, SupplierX!C$6:C$452, A35, SupplierX!B$6:B$452, "Item Received")
    + SUMIFS(SupplierY!D$6:D$452, SupplierY!C$6:C$452, A35, SupplierY!B$6:B$452, "Item Received")
)</f>
        <v/>
      </c>
      <c r="D35" s="8"/>
      <c r="E35" s="13" t="str">
        <f>IF(Inventory[[#This Row],[Item]]="","",Inventory[[#This Row],[ Opening Stock]]+Inventory[[#This Row],[ Quantity Received]]-Inventory[[#This Row],[ Quantity Used]])</f>
        <v/>
      </c>
    </row>
    <row r="36" spans="1:5" x14ac:dyDescent="0.3">
      <c r="A36" s="8"/>
      <c r="B36" s="8"/>
      <c r="C36" s="18" t="str">
        <f>IF(A36="","",
    SUMIFS(SupplierX!D$6:D$452, SupplierX!C$6:C$452, A36, SupplierX!B$6:B$452, "Item Received")
    + SUMIFS(SupplierY!D$6:D$452, SupplierY!C$6:C$452, A36, SupplierY!B$6:B$452, "Item Received")
)</f>
        <v/>
      </c>
      <c r="D36" s="8"/>
      <c r="E36" s="13" t="str">
        <f>IF(Inventory[[#This Row],[Item]]="","",Inventory[[#This Row],[ Opening Stock]]+Inventory[[#This Row],[ Quantity Received]]-Inventory[[#This Row],[ Quantity Used]])</f>
        <v/>
      </c>
    </row>
    <row r="37" spans="1:5" x14ac:dyDescent="0.3">
      <c r="A37" s="8"/>
      <c r="B37" s="8"/>
      <c r="C37" s="18" t="str">
        <f>IF(A37="","",
    SUMIFS(SupplierX!D$6:D$452, SupplierX!C$6:C$452, A37, SupplierX!B$6:B$452, "Item Received")
    + SUMIFS(SupplierY!D$6:D$452, SupplierY!C$6:C$452, A37, SupplierY!B$6:B$452, "Item Received")
)</f>
        <v/>
      </c>
      <c r="D37" s="8"/>
      <c r="E37" s="13" t="str">
        <f>IF(Inventory[[#This Row],[Item]]="","",Inventory[[#This Row],[ Opening Stock]]+Inventory[[#This Row],[ Quantity Received]]-Inventory[[#This Row],[ Quantity Used]])</f>
        <v/>
      </c>
    </row>
    <row r="38" spans="1:5" x14ac:dyDescent="0.3">
      <c r="A38" s="8"/>
      <c r="B38" s="8"/>
      <c r="C38" s="18" t="str">
        <f>IF(A38="","",
    SUMIFS(SupplierX!D$6:D$452, SupplierX!C$6:C$452, A38, SupplierX!B$6:B$452, "Item Received")
    + SUMIFS(SupplierY!D$6:D$452, SupplierY!C$6:C$452, A38, SupplierY!B$6:B$452, "Item Received")
)</f>
        <v/>
      </c>
      <c r="D38" s="8"/>
      <c r="E38" s="13" t="str">
        <f>IF(Inventory[[#This Row],[Item]]="","",Inventory[[#This Row],[ Opening Stock]]+Inventory[[#This Row],[ Quantity Received]]-Inventory[[#This Row],[ Quantity Used]])</f>
        <v/>
      </c>
    </row>
    <row r="39" spans="1:5" x14ac:dyDescent="0.3">
      <c r="A39" s="8"/>
      <c r="B39" s="8"/>
      <c r="C39" s="18" t="str">
        <f>IF(A39="","",
    SUMIFS(SupplierX!D$6:D$452, SupplierX!C$6:C$452, A39, SupplierX!B$6:B$452, "Item Received")
    + SUMIFS(SupplierY!D$6:D$452, SupplierY!C$6:C$452, A39, SupplierY!B$6:B$452, "Item Received")
)</f>
        <v/>
      </c>
      <c r="D39" s="8"/>
      <c r="E39" s="13" t="str">
        <f>IF(Inventory[[#This Row],[Item]]="","",Inventory[[#This Row],[ Opening Stock]]+Inventory[[#This Row],[ Quantity Received]]-Inventory[[#This Row],[ Quantity Used]])</f>
        <v/>
      </c>
    </row>
    <row r="40" spans="1:5" x14ac:dyDescent="0.3">
      <c r="A40" s="8"/>
      <c r="B40" s="8"/>
      <c r="C40" s="18" t="str">
        <f>IF(A40="","",
    SUMIFS(SupplierX!D$6:D$452, SupplierX!C$6:C$452, A40, SupplierX!B$6:B$452, "Item Received")
    + SUMIFS(SupplierY!D$6:D$452, SupplierY!C$6:C$452, A40, SupplierY!B$6:B$452, "Item Received")
)</f>
        <v/>
      </c>
      <c r="D40" s="8"/>
      <c r="E40" s="13" t="str">
        <f>IF(Inventory[[#This Row],[Item]]="","",Inventory[[#This Row],[ Opening Stock]]+Inventory[[#This Row],[ Quantity Received]]-Inventory[[#This Row],[ Quantity Used]])</f>
        <v/>
      </c>
    </row>
    <row r="41" spans="1:5" x14ac:dyDescent="0.3">
      <c r="A41" s="8"/>
      <c r="B41" s="8"/>
      <c r="C41" s="18" t="str">
        <f>IF(A41="","",
    SUMIFS(SupplierX!D$6:D$452, SupplierX!C$6:C$452, A41, SupplierX!B$6:B$452, "Item Received")
    + SUMIFS(SupplierY!D$6:D$452, SupplierY!C$6:C$452, A41, SupplierY!B$6:B$452, "Item Received")
)</f>
        <v/>
      </c>
      <c r="D41" s="8"/>
      <c r="E41" s="13" t="str">
        <f>IF(Inventory[[#This Row],[Item]]="","",Inventory[[#This Row],[ Opening Stock]]+Inventory[[#This Row],[ Quantity Received]]-Inventory[[#This Row],[ Quantity Used]])</f>
        <v/>
      </c>
    </row>
    <row r="42" spans="1:5" x14ac:dyDescent="0.3">
      <c r="A42" s="8"/>
      <c r="B42" s="8"/>
      <c r="C42" s="18" t="str">
        <f>IF(A42="","",
    SUMIFS(SupplierX!D$6:D$452, SupplierX!C$6:C$452, A42, SupplierX!B$6:B$452, "Item Received")
    + SUMIFS(SupplierY!D$6:D$452, SupplierY!C$6:C$452, A42, SupplierY!B$6:B$452, "Item Received")
)</f>
        <v/>
      </c>
      <c r="D42" s="8"/>
      <c r="E42" s="13" t="str">
        <f>IF(Inventory[[#This Row],[Item]]="","",Inventory[[#This Row],[ Opening Stock]]+Inventory[[#This Row],[ Quantity Received]]-Inventory[[#This Row],[ Quantity Used]])</f>
        <v/>
      </c>
    </row>
    <row r="43" spans="1:5" x14ac:dyDescent="0.3">
      <c r="A43" s="8"/>
      <c r="B43" s="8"/>
      <c r="C43" s="18" t="str">
        <f>IF(A43="","",
    SUMIFS(SupplierX!D$6:D$452, SupplierX!C$6:C$452, A43, SupplierX!B$6:B$452, "Item Received")
    + SUMIFS(SupplierY!D$6:D$452, SupplierY!C$6:C$452, A43, SupplierY!B$6:B$452, "Item Received")
)</f>
        <v/>
      </c>
      <c r="D43" s="8"/>
      <c r="E43" s="13" t="str">
        <f>IF(Inventory[[#This Row],[Item]]="","",Inventory[[#This Row],[ Opening Stock]]+Inventory[[#This Row],[ Quantity Received]]-Inventory[[#This Row],[ Quantity Used]])</f>
        <v/>
      </c>
    </row>
    <row r="44" spans="1:5" x14ac:dyDescent="0.3">
      <c r="A44" s="8"/>
      <c r="B44" s="8"/>
      <c r="C44" s="18" t="str">
        <f>IF(A44="","",
    SUMIFS(SupplierX!D$6:D$452, SupplierX!C$6:C$452, A44, SupplierX!B$6:B$452, "Item Received")
    + SUMIFS(SupplierY!D$6:D$452, SupplierY!C$6:C$452, A44, SupplierY!B$6:B$452, "Item Received")
)</f>
        <v/>
      </c>
      <c r="D44" s="8"/>
      <c r="E44" s="13" t="str">
        <f>IF(Inventory[[#This Row],[Item]]="","",Inventory[[#This Row],[ Opening Stock]]+Inventory[[#This Row],[ Quantity Received]]-Inventory[[#This Row],[ Quantity Used]])</f>
        <v/>
      </c>
    </row>
    <row r="45" spans="1:5" x14ac:dyDescent="0.3">
      <c r="A45" s="8"/>
      <c r="B45" s="8"/>
      <c r="C45" s="18" t="str">
        <f>IF(A45="","",
    SUMIFS(SupplierX!D$6:D$452, SupplierX!C$6:C$452, A45, SupplierX!B$6:B$452, "Item Received")
    + SUMIFS(SupplierY!D$6:D$452, SupplierY!C$6:C$452, A45, SupplierY!B$6:B$452, "Item Received")
)</f>
        <v/>
      </c>
      <c r="D45" s="8"/>
      <c r="E45" s="13" t="str">
        <f>IF(Inventory[[#This Row],[Item]]="","",Inventory[[#This Row],[ Opening Stock]]+Inventory[[#This Row],[ Quantity Received]]-Inventory[[#This Row],[ Quantity Used]])</f>
        <v/>
      </c>
    </row>
    <row r="46" spans="1:5" x14ac:dyDescent="0.3">
      <c r="A46" s="8"/>
      <c r="B46" s="8"/>
      <c r="C46" s="18" t="str">
        <f>IF(A46="","",
    SUMIFS(SupplierX!D$6:D$452, SupplierX!C$6:C$452, A46, SupplierX!B$6:B$452, "Item Received")
    + SUMIFS(SupplierY!D$6:D$452, SupplierY!C$6:C$452, A46, SupplierY!B$6:B$452, "Item Received")
)</f>
        <v/>
      </c>
      <c r="D46" s="8"/>
      <c r="E46" s="13" t="str">
        <f>IF(Inventory[[#This Row],[Item]]="","",Inventory[[#This Row],[ Opening Stock]]+Inventory[[#This Row],[ Quantity Received]]-Inventory[[#This Row],[ Quantity Used]])</f>
        <v/>
      </c>
    </row>
    <row r="47" spans="1:5" x14ac:dyDescent="0.3">
      <c r="A47" s="8"/>
      <c r="B47" s="8"/>
      <c r="C47" s="18" t="str">
        <f>IF(A47="","",
    SUMIFS(SupplierX!D$6:D$452, SupplierX!C$6:C$452, A47, SupplierX!B$6:B$452, "Item Received")
    + SUMIFS(SupplierY!D$6:D$452, SupplierY!C$6:C$452, A47, SupplierY!B$6:B$452, "Item Received")
)</f>
        <v/>
      </c>
      <c r="D47" s="8"/>
      <c r="E47" s="13" t="str">
        <f>IF(Inventory[[#This Row],[Item]]="","",Inventory[[#This Row],[ Opening Stock]]+Inventory[[#This Row],[ Quantity Received]]-Inventory[[#This Row],[ Quantity Used]])</f>
        <v/>
      </c>
    </row>
    <row r="48" spans="1:5" x14ac:dyDescent="0.3">
      <c r="A48" s="8"/>
      <c r="B48" s="8"/>
      <c r="C48" s="18" t="str">
        <f>IF(A48="","",
    SUMIFS(SupplierX!D$6:D$452, SupplierX!C$6:C$452, A48, SupplierX!B$6:B$452, "Item Received")
    + SUMIFS(SupplierY!D$6:D$452, SupplierY!C$6:C$452, A48, SupplierY!B$6:B$452, "Item Received")
)</f>
        <v/>
      </c>
      <c r="D48" s="8"/>
      <c r="E48" s="13" t="str">
        <f>IF(Inventory[[#This Row],[Item]]="","",Inventory[[#This Row],[ Opening Stock]]+Inventory[[#This Row],[ Quantity Received]]-Inventory[[#This Row],[ Quantity Used]])</f>
        <v/>
      </c>
    </row>
    <row r="49" spans="1:5" x14ac:dyDescent="0.3">
      <c r="A49" s="8"/>
      <c r="B49" s="8"/>
      <c r="C49" s="18" t="str">
        <f>IF(A49="","",
    SUMIFS(SupplierX!D$6:D$452, SupplierX!C$6:C$452, A49, SupplierX!B$6:B$452, "Item Received")
    + SUMIFS(SupplierY!D$6:D$452, SupplierY!C$6:C$452, A49, SupplierY!B$6:B$452, "Item Received")
)</f>
        <v/>
      </c>
      <c r="D49" s="8"/>
      <c r="E49" s="13" t="str">
        <f>IF(Inventory[[#This Row],[Item]]="","",Inventory[[#This Row],[ Opening Stock]]+Inventory[[#This Row],[ Quantity Received]]-Inventory[[#This Row],[ Quantity Used]])</f>
        <v/>
      </c>
    </row>
    <row r="50" spans="1:5" x14ac:dyDescent="0.3">
      <c r="A50" s="8"/>
      <c r="B50" s="8"/>
      <c r="C50" s="18" t="str">
        <f>IF(A50="","",
    SUMIFS(SupplierX!D$6:D$452, SupplierX!C$6:C$452, A50, SupplierX!B$6:B$452, "Item Received")
    + SUMIFS(SupplierY!D$6:D$452, SupplierY!C$6:C$452, A50, SupplierY!B$6:B$452, "Item Received")
)</f>
        <v/>
      </c>
      <c r="D50" s="8"/>
      <c r="E50" s="13" t="str">
        <f>IF(Inventory[[#This Row],[Item]]="","",Inventory[[#This Row],[ Opening Stock]]+Inventory[[#This Row],[ Quantity Received]]-Inventory[[#This Row],[ Quantity Used]])</f>
        <v/>
      </c>
    </row>
    <row r="51" spans="1:5" x14ac:dyDescent="0.3">
      <c r="A51" s="8"/>
      <c r="B51" s="8"/>
      <c r="C51" s="18" t="str">
        <f>IF(A51="","",
    SUMIFS(SupplierX!D$6:D$452, SupplierX!C$6:C$452, A51, SupplierX!B$6:B$452, "Item Received")
    + SUMIFS(SupplierY!D$6:D$452, SupplierY!C$6:C$452, A51, SupplierY!B$6:B$452, "Item Received")
)</f>
        <v/>
      </c>
      <c r="D51" s="8"/>
      <c r="E51" s="13" t="str">
        <f>IF(Inventory[[#This Row],[Item]]="","",Inventory[[#This Row],[ Opening Stock]]+Inventory[[#This Row],[ Quantity Received]]-Inventory[[#This Row],[ Quantity Used]])</f>
        <v/>
      </c>
    </row>
    <row r="52" spans="1:5" x14ac:dyDescent="0.3">
      <c r="A52" s="8"/>
      <c r="B52" s="8"/>
      <c r="C52" s="18" t="str">
        <f>IF(A52="","",
    SUMIFS(SupplierX!D$6:D$452, SupplierX!C$6:C$452, A52, SupplierX!B$6:B$452, "Item Received")
    + SUMIFS(SupplierY!D$6:D$452, SupplierY!C$6:C$452, A52, SupplierY!B$6:B$452, "Item Received")
)</f>
        <v/>
      </c>
      <c r="D52" s="8"/>
      <c r="E52" s="13" t="str">
        <f>IF(Inventory[[#This Row],[Item]]="","",Inventory[[#This Row],[ Opening Stock]]+Inventory[[#This Row],[ Quantity Received]]-Inventory[[#This Row],[ Quantity Used]])</f>
        <v/>
      </c>
    </row>
    <row r="53" spans="1:5" x14ac:dyDescent="0.3">
      <c r="A53" s="8"/>
      <c r="B53" s="8"/>
      <c r="C53" s="18" t="str">
        <f>IF(A53="","",
    SUMIFS(SupplierX!D$6:D$452, SupplierX!C$6:C$452, A53, SupplierX!B$6:B$452, "Item Received")
    + SUMIFS(SupplierY!D$6:D$452, SupplierY!C$6:C$452, A53, SupplierY!B$6:B$452, "Item Received")
)</f>
        <v/>
      </c>
      <c r="D53" s="8"/>
      <c r="E53" s="13" t="str">
        <f>IF(Inventory[[#This Row],[Item]]="","",Inventory[[#This Row],[ Opening Stock]]+Inventory[[#This Row],[ Quantity Received]]-Inventory[[#This Row],[ Quantity Used]])</f>
        <v/>
      </c>
    </row>
    <row r="54" spans="1:5" x14ac:dyDescent="0.3">
      <c r="A54" s="8"/>
      <c r="B54" s="8"/>
      <c r="C54" s="18" t="str">
        <f>IF(A54="","",
    SUMIFS(SupplierX!D$6:D$452, SupplierX!C$6:C$452, A54, SupplierX!B$6:B$452, "Item Received")
    + SUMIFS(SupplierY!D$6:D$452, SupplierY!C$6:C$452, A54, SupplierY!B$6:B$452, "Item Received")
)</f>
        <v/>
      </c>
      <c r="D54" s="8"/>
      <c r="E54" s="13" t="str">
        <f>IF(Inventory[[#This Row],[Item]]="","",Inventory[[#This Row],[ Opening Stock]]+Inventory[[#This Row],[ Quantity Received]]-Inventory[[#This Row],[ Quantity Used]])</f>
        <v/>
      </c>
    </row>
    <row r="55" spans="1:5" x14ac:dyDescent="0.3">
      <c r="A55" s="8"/>
      <c r="B55" s="8"/>
      <c r="C55" s="18" t="str">
        <f>IF(A55="","",
    SUMIFS(SupplierX!D$6:D$452, SupplierX!C$6:C$452, A55, SupplierX!B$6:B$452, "Item Received")
    + SUMIFS(SupplierY!D$6:D$452, SupplierY!C$6:C$452, A55, SupplierY!B$6:B$452, "Item Received")
)</f>
        <v/>
      </c>
      <c r="D55" s="8"/>
      <c r="E55" s="13" t="str">
        <f>IF(Inventory[[#This Row],[Item]]="","",Inventory[[#This Row],[ Opening Stock]]+Inventory[[#This Row],[ Quantity Received]]-Inventory[[#This Row],[ Quantity Used]])</f>
        <v/>
      </c>
    </row>
    <row r="56" spans="1:5" x14ac:dyDescent="0.3">
      <c r="A56" s="8"/>
      <c r="B56" s="8"/>
      <c r="C56" s="18" t="str">
        <f>IF(A56="","",
    SUMIFS(SupplierX!D$6:D$452, SupplierX!C$6:C$452, A56, SupplierX!B$6:B$452, "Item Received")
    + SUMIFS(SupplierY!D$6:D$452, SupplierY!C$6:C$452, A56, SupplierY!B$6:B$452, "Item Received")
)</f>
        <v/>
      </c>
      <c r="D56" s="8"/>
      <c r="E56" s="13" t="str">
        <f>IF(Inventory[[#This Row],[Item]]="","",Inventory[[#This Row],[ Opening Stock]]+Inventory[[#This Row],[ Quantity Received]]-Inventory[[#This Row],[ Quantity Used]])</f>
        <v/>
      </c>
    </row>
    <row r="57" spans="1:5" x14ac:dyDescent="0.3">
      <c r="A57" s="8"/>
      <c r="B57" s="8"/>
      <c r="C57" s="18" t="str">
        <f>IF(A57="","",
    SUMIFS(SupplierX!D$6:D$452, SupplierX!C$6:C$452, A57, SupplierX!B$6:B$452, "Item Received")
    + SUMIFS(SupplierY!D$6:D$452, SupplierY!C$6:C$452, A57, SupplierY!B$6:B$452, "Item Received")
)</f>
        <v/>
      </c>
      <c r="D57" s="8"/>
      <c r="E57" s="13" t="str">
        <f>IF(Inventory[[#This Row],[Item]]="","",Inventory[[#This Row],[ Opening Stock]]+Inventory[[#This Row],[ Quantity Received]]-Inventory[[#This Row],[ Quantity Used]])</f>
        <v/>
      </c>
    </row>
    <row r="58" spans="1:5" x14ac:dyDescent="0.3">
      <c r="A58" s="8"/>
      <c r="B58" s="8"/>
      <c r="C58" s="18" t="str">
        <f>IF(A58="","",
    SUMIFS(SupplierX!D$6:D$452, SupplierX!C$6:C$452, A58, SupplierX!B$6:B$452, "Item Received")
    + SUMIFS(SupplierY!D$6:D$452, SupplierY!C$6:C$452, A58, SupplierY!B$6:B$452, "Item Received")
)</f>
        <v/>
      </c>
      <c r="D58" s="8"/>
      <c r="E58" s="13" t="str">
        <f>IF(Inventory[[#This Row],[Item]]="","",Inventory[[#This Row],[ Opening Stock]]+Inventory[[#This Row],[ Quantity Received]]-Inventory[[#This Row],[ Quantity Used]])</f>
        <v/>
      </c>
    </row>
    <row r="59" spans="1:5" x14ac:dyDescent="0.3">
      <c r="A59" s="8"/>
      <c r="B59" s="8"/>
      <c r="C59" s="18" t="str">
        <f>IF(A59="","",
    SUMIFS(SupplierX!D$6:D$452, SupplierX!C$6:C$452, A59, SupplierX!B$6:B$452, "Item Received")
    + SUMIFS(SupplierY!D$6:D$452, SupplierY!C$6:C$452, A59, SupplierY!B$6:B$452, "Item Received")
)</f>
        <v/>
      </c>
      <c r="D59" s="8"/>
      <c r="E59" s="13" t="str">
        <f>IF(Inventory[[#This Row],[Item]]="","",Inventory[[#This Row],[ Opening Stock]]+Inventory[[#This Row],[ Quantity Received]]-Inventory[[#This Row],[ Quantity Used]])</f>
        <v/>
      </c>
    </row>
    <row r="60" spans="1:5" x14ac:dyDescent="0.3">
      <c r="A60" s="8"/>
      <c r="B60" s="8"/>
      <c r="C60" s="18" t="str">
        <f>IF(A60="","",
    SUMIFS(SupplierX!D$6:D$452, SupplierX!C$6:C$452, A60, SupplierX!B$6:B$452, "Item Received")
    + SUMIFS(SupplierY!D$6:D$452, SupplierY!C$6:C$452, A60, SupplierY!B$6:B$452, "Item Received")
)</f>
        <v/>
      </c>
      <c r="D60" s="8"/>
      <c r="E60" s="13" t="str">
        <f>IF(Inventory[[#This Row],[Item]]="","",Inventory[[#This Row],[ Opening Stock]]+Inventory[[#This Row],[ Quantity Received]]-Inventory[[#This Row],[ Quantity Used]])</f>
        <v/>
      </c>
    </row>
    <row r="61" spans="1:5" x14ac:dyDescent="0.3">
      <c r="A61" s="8"/>
      <c r="B61" s="8"/>
      <c r="C61" s="18" t="str">
        <f>IF(A61="","",
    SUMIFS(SupplierX!D$6:D$452, SupplierX!C$6:C$452, A61, SupplierX!B$6:B$452, "Item Received")
    + SUMIFS(SupplierY!D$6:D$452, SupplierY!C$6:C$452, A61, SupplierY!B$6:B$452, "Item Received")
)</f>
        <v/>
      </c>
      <c r="D61" s="8"/>
      <c r="E61" s="13" t="str">
        <f>IF(Inventory[[#This Row],[Item]]="","",Inventory[[#This Row],[ Opening Stock]]+Inventory[[#This Row],[ Quantity Received]]-Inventory[[#This Row],[ Quantity Used]])</f>
        <v/>
      </c>
    </row>
    <row r="62" spans="1:5" x14ac:dyDescent="0.3">
      <c r="A62" s="8"/>
      <c r="B62" s="8"/>
      <c r="C62" s="18" t="str">
        <f>IF(A62="","",
    SUMIFS(SupplierX!D$6:D$452, SupplierX!C$6:C$452, A62, SupplierX!B$6:B$452, "Item Received")
    + SUMIFS(SupplierY!D$6:D$452, SupplierY!C$6:C$452, A62, SupplierY!B$6:B$452, "Item Received")
)</f>
        <v/>
      </c>
      <c r="D62" s="8"/>
      <c r="E62" s="13" t="str">
        <f>IF(Inventory[[#This Row],[Item]]="","",Inventory[[#This Row],[ Opening Stock]]+Inventory[[#This Row],[ Quantity Received]]-Inventory[[#This Row],[ Quantity Used]])</f>
        <v/>
      </c>
    </row>
    <row r="63" spans="1:5" x14ac:dyDescent="0.3">
      <c r="A63" s="8"/>
      <c r="B63" s="8"/>
      <c r="C63" s="18" t="str">
        <f>IF(A63="","",
    SUMIFS(SupplierX!D$6:D$452, SupplierX!C$6:C$452, A63, SupplierX!B$6:B$452, "Item Received")
    + SUMIFS(SupplierY!D$6:D$452, SupplierY!C$6:C$452, A63, SupplierY!B$6:B$452, "Item Received")
)</f>
        <v/>
      </c>
      <c r="D63" s="8"/>
      <c r="E63" s="13" t="str">
        <f>IF(Inventory[[#This Row],[Item]]="","",Inventory[[#This Row],[ Opening Stock]]+Inventory[[#This Row],[ Quantity Received]]-Inventory[[#This Row],[ Quantity Used]])</f>
        <v/>
      </c>
    </row>
    <row r="64" spans="1:5" x14ac:dyDescent="0.3">
      <c r="A64" s="8"/>
      <c r="B64" s="8"/>
      <c r="C64" s="18" t="str">
        <f>IF(A64="","",
    SUMIFS(SupplierX!D$6:D$452, SupplierX!C$6:C$452, A64, SupplierX!B$6:B$452, "Item Received")
    + SUMIFS(SupplierY!D$6:D$452, SupplierY!C$6:C$452, A64, SupplierY!B$6:B$452, "Item Received")
)</f>
        <v/>
      </c>
      <c r="D64" s="8"/>
      <c r="E64" s="13" t="str">
        <f>IF(Inventory[[#This Row],[Item]]="","",Inventory[[#This Row],[ Opening Stock]]+Inventory[[#This Row],[ Quantity Received]]-Inventory[[#This Row],[ Quantity Used]])</f>
        <v/>
      </c>
    </row>
    <row r="65" spans="1:5" x14ac:dyDescent="0.3">
      <c r="A65" s="8"/>
      <c r="B65" s="8"/>
      <c r="C65" s="18" t="str">
        <f>IF(A65="","",
    SUMIFS(SupplierX!D$6:D$452, SupplierX!C$6:C$452, A65, SupplierX!B$6:B$452, "Item Received")
    + SUMIFS(SupplierY!D$6:D$452, SupplierY!C$6:C$452, A65, SupplierY!B$6:B$452, "Item Received")
)</f>
        <v/>
      </c>
      <c r="D65" s="8"/>
      <c r="E65" s="13" t="str">
        <f>IF(Inventory[[#This Row],[Item]]="","",Inventory[[#This Row],[ Opening Stock]]+Inventory[[#This Row],[ Quantity Received]]-Inventory[[#This Row],[ Quantity Used]])</f>
        <v/>
      </c>
    </row>
    <row r="66" spans="1:5" x14ac:dyDescent="0.3">
      <c r="A66" s="8"/>
      <c r="B66" s="8"/>
      <c r="C66" s="18" t="str">
        <f>IF(A66="","",
    SUMIFS(SupplierX!D$6:D$452, SupplierX!C$6:C$452, A66, SupplierX!B$6:B$452, "Item Received")
    + SUMIFS(SupplierY!D$6:D$452, SupplierY!C$6:C$452, A66, SupplierY!B$6:B$452, "Item Received")
)</f>
        <v/>
      </c>
      <c r="D66" s="8"/>
      <c r="E66" s="13" t="str">
        <f>IF(Inventory[[#This Row],[Item]]="","",Inventory[[#This Row],[ Opening Stock]]+Inventory[[#This Row],[ Quantity Received]]-Inventory[[#This Row],[ Quantity Used]])</f>
        <v/>
      </c>
    </row>
    <row r="67" spans="1:5" x14ac:dyDescent="0.3">
      <c r="A67" s="8"/>
      <c r="B67" s="8"/>
      <c r="C67" s="18" t="str">
        <f>IF(A67="","",
    SUMIFS(SupplierX!D$6:D$452, SupplierX!C$6:C$452, A67, SupplierX!B$6:B$452, "Item Received")
    + SUMIFS(SupplierY!D$6:D$452, SupplierY!C$6:C$452, A67, SupplierY!B$6:B$452, "Item Received")
)</f>
        <v/>
      </c>
      <c r="D67" s="8"/>
      <c r="E67" s="13" t="str">
        <f>IF(Inventory[[#This Row],[Item]]="","",Inventory[[#This Row],[ Opening Stock]]+Inventory[[#This Row],[ Quantity Received]]-Inventory[[#This Row],[ Quantity Used]])</f>
        <v/>
      </c>
    </row>
    <row r="68" spans="1:5" x14ac:dyDescent="0.3">
      <c r="A68" s="8"/>
      <c r="B68" s="8"/>
      <c r="C68" s="18" t="str">
        <f>IF(A68="","",
    SUMIFS(SupplierX!D$6:D$452, SupplierX!C$6:C$452, A68, SupplierX!B$6:B$452, "Item Received")
    + SUMIFS(SupplierY!D$6:D$452, SupplierY!C$6:C$452, A68, SupplierY!B$6:B$452, "Item Received")
)</f>
        <v/>
      </c>
      <c r="D68" s="8"/>
      <c r="E68" s="13" t="str">
        <f>IF(Inventory[[#This Row],[Item]]="","",Inventory[[#This Row],[ Opening Stock]]+Inventory[[#This Row],[ Quantity Received]]-Inventory[[#This Row],[ Quantity Used]])</f>
        <v/>
      </c>
    </row>
    <row r="69" spans="1:5" x14ac:dyDescent="0.3">
      <c r="A69" s="8"/>
      <c r="B69" s="8"/>
      <c r="C69" s="18" t="str">
        <f>IF(A69="","",
    SUMIFS(SupplierX!D$6:D$452, SupplierX!C$6:C$452, A69, SupplierX!B$6:B$452, "Item Received")
    + SUMIFS(SupplierY!D$6:D$452, SupplierY!C$6:C$452, A69, SupplierY!B$6:B$452, "Item Received")
)</f>
        <v/>
      </c>
      <c r="D69" s="8"/>
      <c r="E69" s="13" t="str">
        <f>IF(Inventory[[#This Row],[Item]]="","",Inventory[[#This Row],[ Opening Stock]]+Inventory[[#This Row],[ Quantity Received]]-Inventory[[#This Row],[ Quantity Used]])</f>
        <v/>
      </c>
    </row>
    <row r="70" spans="1:5" x14ac:dyDescent="0.3">
      <c r="A70" s="8"/>
      <c r="B70" s="8"/>
      <c r="C70" s="18" t="str">
        <f>IF(A70="","",
    SUMIFS(SupplierX!D$6:D$452, SupplierX!C$6:C$452, A70, SupplierX!B$6:B$452, "Item Received")
    + SUMIFS(SupplierY!D$6:D$452, SupplierY!C$6:C$452, A70, SupplierY!B$6:B$452, "Item Received")
)</f>
        <v/>
      </c>
      <c r="D70" s="8"/>
      <c r="E70" s="13" t="str">
        <f>IF(Inventory[[#This Row],[Item]]="","",Inventory[[#This Row],[ Opening Stock]]+Inventory[[#This Row],[ Quantity Received]]-Inventory[[#This Row],[ Quantity Used]])</f>
        <v/>
      </c>
    </row>
    <row r="71" spans="1:5" x14ac:dyDescent="0.3">
      <c r="A71" s="8"/>
      <c r="B71" s="8"/>
      <c r="C71" s="18" t="str">
        <f>IF(A71="","",
    SUMIFS(SupplierX!D$6:D$452, SupplierX!C$6:C$452, A71, SupplierX!B$6:B$452, "Item Received")
    + SUMIFS(SupplierY!D$6:D$452, SupplierY!C$6:C$452, A71, SupplierY!B$6:B$452, "Item Received")
)</f>
        <v/>
      </c>
      <c r="D71" s="8"/>
      <c r="E71" s="13" t="str">
        <f>IF(Inventory[[#This Row],[Item]]="","",Inventory[[#This Row],[ Opening Stock]]+Inventory[[#This Row],[ Quantity Received]]-Inventory[[#This Row],[ Quantity Used]])</f>
        <v/>
      </c>
    </row>
    <row r="72" spans="1:5" x14ac:dyDescent="0.3">
      <c r="A72" s="8"/>
      <c r="B72" s="8"/>
      <c r="C72" s="18" t="str">
        <f>IF(A72="","",
    SUMIFS(SupplierX!D$6:D$452, SupplierX!C$6:C$452, A72, SupplierX!B$6:B$452, "Item Received")
    + SUMIFS(SupplierY!D$6:D$452, SupplierY!C$6:C$452, A72, SupplierY!B$6:B$452, "Item Received")
)</f>
        <v/>
      </c>
      <c r="D72" s="8"/>
      <c r="E72" s="13" t="str">
        <f>IF(Inventory[[#This Row],[Item]]="","",Inventory[[#This Row],[ Opening Stock]]+Inventory[[#This Row],[ Quantity Received]]-Inventory[[#This Row],[ Quantity Used]])</f>
        <v/>
      </c>
    </row>
    <row r="73" spans="1:5" x14ac:dyDescent="0.3">
      <c r="A73" s="8"/>
      <c r="B73" s="8"/>
      <c r="C73" s="18" t="str">
        <f>IF(A73="","",
    SUMIFS(SupplierX!D$6:D$452, SupplierX!C$6:C$452, A73, SupplierX!B$6:B$452, "Item Received")
    + SUMIFS(SupplierY!D$6:D$452, SupplierY!C$6:C$452, A73, SupplierY!B$6:B$452, "Item Received")
)</f>
        <v/>
      </c>
      <c r="D73" s="8"/>
      <c r="E73" s="13" t="str">
        <f>IF(Inventory[[#This Row],[Item]]="","",Inventory[[#This Row],[ Opening Stock]]+Inventory[[#This Row],[ Quantity Received]]-Inventory[[#This Row],[ Quantity Used]])</f>
        <v/>
      </c>
    </row>
    <row r="74" spans="1:5" x14ac:dyDescent="0.3">
      <c r="A74" s="8"/>
      <c r="B74" s="8"/>
      <c r="C74" s="18" t="str">
        <f>IF(A74="","",
    SUMIFS(SupplierX!D$6:D$452, SupplierX!C$6:C$452, A74, SupplierX!B$6:B$452, "Item Received")
    + SUMIFS(SupplierY!D$6:D$452, SupplierY!C$6:C$452, A74, SupplierY!B$6:B$452, "Item Received")
)</f>
        <v/>
      </c>
      <c r="D74" s="8"/>
      <c r="E74" s="13" t="str">
        <f>IF(Inventory[[#This Row],[Item]]="","",Inventory[[#This Row],[ Opening Stock]]+Inventory[[#This Row],[ Quantity Received]]-Inventory[[#This Row],[ Quantity Used]])</f>
        <v/>
      </c>
    </row>
    <row r="75" spans="1:5" x14ac:dyDescent="0.3">
      <c r="A75" s="8"/>
      <c r="B75" s="8"/>
      <c r="C75" s="18" t="str">
        <f>IF(A75="","",
    SUMIFS(SupplierX!D$6:D$452, SupplierX!C$6:C$452, A75, SupplierX!B$6:B$452, "Item Received")
    + SUMIFS(SupplierY!D$6:D$452, SupplierY!C$6:C$452, A75, SupplierY!B$6:B$452, "Item Received")
)</f>
        <v/>
      </c>
      <c r="D75" s="8"/>
      <c r="E75" s="13" t="str">
        <f>IF(Inventory[[#This Row],[Item]]="","",Inventory[[#This Row],[ Opening Stock]]+Inventory[[#This Row],[ Quantity Received]]-Inventory[[#This Row],[ Quantity Used]])</f>
        <v/>
      </c>
    </row>
    <row r="76" spans="1:5" x14ac:dyDescent="0.3">
      <c r="A76" s="8"/>
      <c r="B76" s="8"/>
      <c r="C76" s="18" t="str">
        <f>IF(A76="","",
    SUMIFS(SupplierX!D$6:D$452, SupplierX!C$6:C$452, A76, SupplierX!B$6:B$452, "Item Received")
    + SUMIFS(SupplierY!D$6:D$452, SupplierY!C$6:C$452, A76, SupplierY!B$6:B$452, "Item Received")
)</f>
        <v/>
      </c>
      <c r="D76" s="8"/>
      <c r="E76" s="13" t="str">
        <f>IF(Inventory[[#This Row],[Item]]="","",Inventory[[#This Row],[ Opening Stock]]+Inventory[[#This Row],[ Quantity Received]]-Inventory[[#This Row],[ Quantity Used]])</f>
        <v/>
      </c>
    </row>
    <row r="77" spans="1:5" x14ac:dyDescent="0.3">
      <c r="A77" s="8"/>
      <c r="B77" s="8"/>
      <c r="C77" s="18" t="str">
        <f>IF(A77="","",
    SUMIFS(SupplierX!D$6:D$452, SupplierX!C$6:C$452, A77, SupplierX!B$6:B$452, "Item Received")
    + SUMIFS(SupplierY!D$6:D$452, SupplierY!C$6:C$452, A77, SupplierY!B$6:B$452, "Item Received")
)</f>
        <v/>
      </c>
      <c r="D77" s="8"/>
      <c r="E77" s="13" t="str">
        <f>IF(Inventory[[#This Row],[Item]]="","",Inventory[[#This Row],[ Opening Stock]]+Inventory[[#This Row],[ Quantity Received]]-Inventory[[#This Row],[ Quantity Used]])</f>
        <v/>
      </c>
    </row>
    <row r="78" spans="1:5" x14ac:dyDescent="0.3">
      <c r="A78" s="8"/>
      <c r="B78" s="8"/>
      <c r="C78" s="18" t="str">
        <f>IF(A78="","",
    SUMIFS(SupplierX!D$6:D$452, SupplierX!C$6:C$452, A78, SupplierX!B$6:B$452, "Item Received")
    + SUMIFS(SupplierY!D$6:D$452, SupplierY!C$6:C$452, A78, SupplierY!B$6:B$452, "Item Received")
)</f>
        <v/>
      </c>
      <c r="D78" s="8"/>
      <c r="E78" s="13" t="str">
        <f>IF(Inventory[[#This Row],[Item]]="","",Inventory[[#This Row],[ Opening Stock]]+Inventory[[#This Row],[ Quantity Received]]-Inventory[[#This Row],[ Quantity Used]])</f>
        <v/>
      </c>
    </row>
    <row r="79" spans="1:5" x14ac:dyDescent="0.3">
      <c r="A79" s="8"/>
      <c r="B79" s="8"/>
      <c r="C79" s="18" t="str">
        <f>IF(A79="","",
    SUMIFS(SupplierX!D$6:D$452, SupplierX!C$6:C$452, A79, SupplierX!B$6:B$452, "Item Received")
    + SUMIFS(SupplierY!D$6:D$452, SupplierY!C$6:C$452, A79, SupplierY!B$6:B$452, "Item Received")
)</f>
        <v/>
      </c>
      <c r="D79" s="8"/>
      <c r="E79" s="13" t="str">
        <f>IF(Inventory[[#This Row],[Item]]="","",Inventory[[#This Row],[ Opening Stock]]+Inventory[[#This Row],[ Quantity Received]]-Inventory[[#This Row],[ Quantity Used]])</f>
        <v/>
      </c>
    </row>
    <row r="80" spans="1:5" x14ac:dyDescent="0.3">
      <c r="A80" s="8"/>
      <c r="B80" s="8"/>
      <c r="C80" s="18" t="str">
        <f>IF(A80="","",
    SUMIFS(SupplierX!D$6:D$452, SupplierX!C$6:C$452, A80, SupplierX!B$6:B$452, "Item Received")
    + SUMIFS(SupplierY!D$6:D$452, SupplierY!C$6:C$452, A80, SupplierY!B$6:B$452, "Item Received")
)</f>
        <v/>
      </c>
      <c r="D80" s="8"/>
      <c r="E80" s="13" t="str">
        <f>IF(Inventory[[#This Row],[Item]]="","",Inventory[[#This Row],[ Opening Stock]]+Inventory[[#This Row],[ Quantity Received]]-Inventory[[#This Row],[ Quantity Used]])</f>
        <v/>
      </c>
    </row>
    <row r="81" spans="1:5" x14ac:dyDescent="0.3">
      <c r="A81" s="8"/>
      <c r="B81" s="8"/>
      <c r="C81" s="18" t="str">
        <f>IF(A81="","",
    SUMIFS(SupplierX!D$6:D$452, SupplierX!C$6:C$452, A81, SupplierX!B$6:B$452, "Item Received")
    + SUMIFS(SupplierY!D$6:D$452, SupplierY!C$6:C$452, A81, SupplierY!B$6:B$452, "Item Received")
)</f>
        <v/>
      </c>
      <c r="D81" s="8"/>
      <c r="E81" s="13" t="str">
        <f>IF(Inventory[[#This Row],[Item]]="","",Inventory[[#This Row],[ Opening Stock]]+Inventory[[#This Row],[ Quantity Received]]-Inventory[[#This Row],[ Quantity Used]])</f>
        <v/>
      </c>
    </row>
    <row r="82" spans="1:5" x14ac:dyDescent="0.3">
      <c r="A82" s="8"/>
      <c r="B82" s="8"/>
      <c r="C82" s="18" t="str">
        <f>IF(A82="","",
    SUMIFS(SupplierX!D$6:D$452, SupplierX!C$6:C$452, A82, SupplierX!B$6:B$452, "Item Received")
    + SUMIFS(SupplierY!D$6:D$452, SupplierY!C$6:C$452, A82, SupplierY!B$6:B$452, "Item Received")
)</f>
        <v/>
      </c>
      <c r="D82" s="8"/>
      <c r="E82" s="13" t="str">
        <f>IF(Inventory[[#This Row],[Item]]="","",Inventory[[#This Row],[ Opening Stock]]+Inventory[[#This Row],[ Quantity Received]]-Inventory[[#This Row],[ Quantity Used]])</f>
        <v/>
      </c>
    </row>
    <row r="83" spans="1:5" x14ac:dyDescent="0.3">
      <c r="A83" s="8"/>
      <c r="B83" s="8"/>
      <c r="C83" s="18" t="str">
        <f>IF(A83="","",
    SUMIFS(SupplierX!D$6:D$452, SupplierX!C$6:C$452, A83, SupplierX!B$6:B$452, "Item Received")
    + SUMIFS(SupplierY!D$6:D$452, SupplierY!C$6:C$452, A83, SupplierY!B$6:B$452, "Item Received")
)</f>
        <v/>
      </c>
      <c r="D83" s="8"/>
      <c r="E83" s="13" t="str">
        <f>IF(Inventory[[#This Row],[Item]]="","",Inventory[[#This Row],[ Opening Stock]]+Inventory[[#This Row],[ Quantity Received]]-Inventory[[#This Row],[ Quantity Used]])</f>
        <v/>
      </c>
    </row>
    <row r="84" spans="1:5" x14ac:dyDescent="0.3">
      <c r="A84" s="8"/>
      <c r="B84" s="8"/>
      <c r="C84" s="18" t="str">
        <f>IF(A84="","",
    SUMIFS(SupplierX!D$6:D$452, SupplierX!C$6:C$452, A84, SupplierX!B$6:B$452, "Item Received")
    + SUMIFS(SupplierY!D$6:D$452, SupplierY!C$6:C$452, A84, SupplierY!B$6:B$452, "Item Received")
)</f>
        <v/>
      </c>
      <c r="D84" s="8"/>
      <c r="E84" s="13" t="str">
        <f>IF(Inventory[[#This Row],[Item]]="","",Inventory[[#This Row],[ Opening Stock]]+Inventory[[#This Row],[ Quantity Received]]-Inventory[[#This Row],[ Quantity Used]])</f>
        <v/>
      </c>
    </row>
    <row r="85" spans="1:5" x14ac:dyDescent="0.3">
      <c r="A85" s="8"/>
      <c r="B85" s="8"/>
      <c r="C85" s="18" t="str">
        <f>IF(A85="","",
    SUMIFS(SupplierX!D$6:D$452, SupplierX!C$6:C$452, A85, SupplierX!B$6:B$452, "Item Received")
    + SUMIFS(SupplierY!D$6:D$452, SupplierY!C$6:C$452, A85, SupplierY!B$6:B$452, "Item Received")
)</f>
        <v/>
      </c>
      <c r="D85" s="8"/>
      <c r="E85" s="13" t="str">
        <f>IF(Inventory[[#This Row],[Item]]="","",Inventory[[#This Row],[ Opening Stock]]+Inventory[[#This Row],[ Quantity Received]]-Inventory[[#This Row],[ Quantity Used]])</f>
        <v/>
      </c>
    </row>
    <row r="86" spans="1:5" x14ac:dyDescent="0.3">
      <c r="A86" s="8"/>
      <c r="B86" s="8"/>
      <c r="C86" s="18" t="str">
        <f>IF(A86="","",
    SUMIFS(SupplierX!D$6:D$452, SupplierX!C$6:C$452, A86, SupplierX!B$6:B$452, "Item Received")
    + SUMIFS(SupplierY!D$6:D$452, SupplierY!C$6:C$452, A86, SupplierY!B$6:B$452, "Item Received")
)</f>
        <v/>
      </c>
      <c r="D86" s="8"/>
      <c r="E86" s="13" t="str">
        <f>IF(Inventory[[#This Row],[Item]]="","",Inventory[[#This Row],[ Opening Stock]]+Inventory[[#This Row],[ Quantity Received]]-Inventory[[#This Row],[ Quantity Used]])</f>
        <v/>
      </c>
    </row>
    <row r="87" spans="1:5" x14ac:dyDescent="0.3">
      <c r="A87" s="8"/>
      <c r="B87" s="8"/>
      <c r="C87" s="18" t="str">
        <f>IF(A87="","",
    SUMIFS(SupplierX!D$6:D$452, SupplierX!C$6:C$452, A87, SupplierX!B$6:B$452, "Item Received")
    + SUMIFS(SupplierY!D$6:D$452, SupplierY!C$6:C$452, A87, SupplierY!B$6:B$452, "Item Received")
)</f>
        <v/>
      </c>
      <c r="D87" s="8"/>
      <c r="E87" s="13" t="str">
        <f>IF(Inventory[[#This Row],[Item]]="","",Inventory[[#This Row],[ Opening Stock]]+Inventory[[#This Row],[ Quantity Received]]-Inventory[[#This Row],[ Quantity Used]])</f>
        <v/>
      </c>
    </row>
    <row r="88" spans="1:5" x14ac:dyDescent="0.3">
      <c r="A88" s="8"/>
      <c r="B88" s="8"/>
      <c r="C88" s="18" t="str">
        <f>IF(A88="","",
    SUMIFS(SupplierX!D$6:D$452, SupplierX!C$6:C$452, A88, SupplierX!B$6:B$452, "Item Received")
    + SUMIFS(SupplierY!D$6:D$452, SupplierY!C$6:C$452, A88, SupplierY!B$6:B$452, "Item Received")
)</f>
        <v/>
      </c>
      <c r="D88" s="8"/>
      <c r="E88" s="13" t="str">
        <f>IF(Inventory[[#This Row],[Item]]="","",Inventory[[#This Row],[ Opening Stock]]+Inventory[[#This Row],[ Quantity Received]]-Inventory[[#This Row],[ Quantity Used]])</f>
        <v/>
      </c>
    </row>
    <row r="89" spans="1:5" x14ac:dyDescent="0.3">
      <c r="A89" s="8"/>
      <c r="B89" s="8"/>
      <c r="C89" s="18" t="str">
        <f>IF(A89="","",
    SUMIFS(SupplierX!D$6:D$452, SupplierX!C$6:C$452, A89, SupplierX!B$6:B$452, "Item Received")
    + SUMIFS(SupplierY!D$6:D$452, SupplierY!C$6:C$452, A89, SupplierY!B$6:B$452, "Item Received")
)</f>
        <v/>
      </c>
      <c r="D89" s="8"/>
      <c r="E89" s="13" t="str">
        <f>IF(Inventory[[#This Row],[Item]]="","",Inventory[[#This Row],[ Opening Stock]]+Inventory[[#This Row],[ Quantity Received]]-Inventory[[#This Row],[ Quantity Used]])</f>
        <v/>
      </c>
    </row>
    <row r="90" spans="1:5" x14ac:dyDescent="0.3">
      <c r="A90" s="8"/>
      <c r="B90" s="8"/>
      <c r="C90" s="18" t="str">
        <f>IF(A90="","",
    SUMIFS(SupplierX!D$6:D$452, SupplierX!C$6:C$452, A90, SupplierX!B$6:B$452, "Item Received")
    + SUMIFS(SupplierY!D$6:D$452, SupplierY!C$6:C$452, A90, SupplierY!B$6:B$452, "Item Received")
)</f>
        <v/>
      </c>
      <c r="D90" s="8"/>
      <c r="E90" s="13" t="str">
        <f>IF(Inventory[[#This Row],[Item]]="","",Inventory[[#This Row],[ Opening Stock]]+Inventory[[#This Row],[ Quantity Received]]-Inventory[[#This Row],[ Quantity Used]])</f>
        <v/>
      </c>
    </row>
    <row r="91" spans="1:5" x14ac:dyDescent="0.3">
      <c r="A91" s="8"/>
      <c r="B91" s="8"/>
      <c r="C91" s="18" t="str">
        <f>IF(A91="","",
    SUMIFS(SupplierX!D$6:D$452, SupplierX!C$6:C$452, A91, SupplierX!B$6:B$452, "Item Received")
    + SUMIFS(SupplierY!D$6:D$452, SupplierY!C$6:C$452, A91, SupplierY!B$6:B$452, "Item Received")
)</f>
        <v/>
      </c>
      <c r="D91" s="8"/>
      <c r="E91" s="13" t="str">
        <f>IF(Inventory[[#This Row],[Item]]="","",Inventory[[#This Row],[ Opening Stock]]+Inventory[[#This Row],[ Quantity Received]]-Inventory[[#This Row],[ Quantity Used]])</f>
        <v/>
      </c>
    </row>
    <row r="92" spans="1:5" x14ac:dyDescent="0.3">
      <c r="A92" s="8"/>
      <c r="B92" s="8"/>
      <c r="C92" s="18" t="str">
        <f>IF(A92="","",
    SUMIFS(SupplierX!D$6:D$452, SupplierX!C$6:C$452, A92, SupplierX!B$6:B$452, "Item Received")
    + SUMIFS(SupplierY!D$6:D$452, SupplierY!C$6:C$452, A92, SupplierY!B$6:B$452, "Item Received")
)</f>
        <v/>
      </c>
      <c r="D92" s="8"/>
      <c r="E92" s="13" t="str">
        <f>IF(Inventory[[#This Row],[Item]]="","",Inventory[[#This Row],[ Opening Stock]]+Inventory[[#This Row],[ Quantity Received]]-Inventory[[#This Row],[ Quantity Used]])</f>
        <v/>
      </c>
    </row>
    <row r="93" spans="1:5" x14ac:dyDescent="0.3">
      <c r="A93" s="8"/>
      <c r="B93" s="8"/>
      <c r="C93" s="18" t="str">
        <f>IF(A93="","",
    SUMIFS(SupplierX!D$6:D$452, SupplierX!C$6:C$452, A93, SupplierX!B$6:B$452, "Item Received")
    + SUMIFS(SupplierY!D$6:D$452, SupplierY!C$6:C$452, A93, SupplierY!B$6:B$452, "Item Received")
)</f>
        <v/>
      </c>
      <c r="D93" s="8"/>
      <c r="E93" s="13" t="str">
        <f>IF(Inventory[[#This Row],[Item]]="","",Inventory[[#This Row],[ Opening Stock]]+Inventory[[#This Row],[ Quantity Received]]-Inventory[[#This Row],[ Quantity Used]])</f>
        <v/>
      </c>
    </row>
    <row r="94" spans="1:5" x14ac:dyDescent="0.3">
      <c r="A94" s="8"/>
      <c r="B94" s="8"/>
      <c r="C94" s="18" t="str">
        <f>IF(A94="","",
    SUMIFS(SupplierX!D$6:D$452, SupplierX!C$6:C$452, A94, SupplierX!B$6:B$452, "Item Received")
    + SUMIFS(SupplierY!D$6:D$452, SupplierY!C$6:C$452, A94, SupplierY!B$6:B$452, "Item Received")
)</f>
        <v/>
      </c>
      <c r="D94" s="8"/>
      <c r="E94" s="13" t="str">
        <f>IF(Inventory[[#This Row],[Item]]="","",Inventory[[#This Row],[ Opening Stock]]+Inventory[[#This Row],[ Quantity Received]]-Inventory[[#This Row],[ Quantity Used]])</f>
        <v/>
      </c>
    </row>
    <row r="95" spans="1:5" x14ac:dyDescent="0.3">
      <c r="A95" s="8"/>
      <c r="B95" s="8"/>
      <c r="C95" s="18" t="str">
        <f>IF(A95="","",
    SUMIFS(SupplierX!D$6:D$452, SupplierX!C$6:C$452, A95, SupplierX!B$6:B$452, "Item Received")
    + SUMIFS(SupplierY!D$6:D$452, SupplierY!C$6:C$452, A95, SupplierY!B$6:B$452, "Item Received")
)</f>
        <v/>
      </c>
      <c r="D95" s="8"/>
      <c r="E95" s="13" t="str">
        <f>IF(Inventory[[#This Row],[Item]]="","",Inventory[[#This Row],[ Opening Stock]]+Inventory[[#This Row],[ Quantity Received]]-Inventory[[#This Row],[ Quantity Used]])</f>
        <v/>
      </c>
    </row>
    <row r="96" spans="1:5" x14ac:dyDescent="0.3">
      <c r="A96" s="8"/>
      <c r="B96" s="8"/>
      <c r="C96" s="18" t="str">
        <f>IF(A96="","",
    SUMIFS(SupplierX!D$6:D$452, SupplierX!C$6:C$452, A96, SupplierX!B$6:B$452, "Item Received")
    + SUMIFS(SupplierY!D$6:D$452, SupplierY!C$6:C$452, A96, SupplierY!B$6:B$452, "Item Received")
)</f>
        <v/>
      </c>
      <c r="D96" s="8"/>
      <c r="E96" s="13" t="str">
        <f>IF(Inventory[[#This Row],[Item]]="","",Inventory[[#This Row],[ Opening Stock]]+Inventory[[#This Row],[ Quantity Received]]-Inventory[[#This Row],[ Quantity Used]])</f>
        <v/>
      </c>
    </row>
    <row r="97" spans="1:5" x14ac:dyDescent="0.3">
      <c r="A97" s="8"/>
      <c r="B97" s="8"/>
      <c r="C97" s="18" t="str">
        <f>IF(A97="","",
    SUMIFS(SupplierX!D$6:D$452, SupplierX!C$6:C$452, A97, SupplierX!B$6:B$452, "Item Received")
    + SUMIFS(SupplierY!D$6:D$452, SupplierY!C$6:C$452, A97, SupplierY!B$6:B$452, "Item Received")
)</f>
        <v/>
      </c>
      <c r="D97" s="8"/>
      <c r="E97" s="13" t="str">
        <f>IF(Inventory[[#This Row],[Item]]="","",Inventory[[#This Row],[ Opening Stock]]+Inventory[[#This Row],[ Quantity Received]]-Inventory[[#This Row],[ Quantity Used]])</f>
        <v/>
      </c>
    </row>
    <row r="98" spans="1:5" x14ac:dyDescent="0.3">
      <c r="A98" s="8"/>
      <c r="B98" s="8"/>
      <c r="C98" s="18" t="str">
        <f>IF(A98="","",
    SUMIFS(SupplierX!D$6:D$452, SupplierX!C$6:C$452, A98, SupplierX!B$6:B$452, "Item Received")
    + SUMIFS(SupplierY!D$6:D$452, SupplierY!C$6:C$452, A98, SupplierY!B$6:B$452, "Item Received")
)</f>
        <v/>
      </c>
      <c r="D98" s="8"/>
      <c r="E98" s="13" t="str">
        <f>IF(Inventory[[#This Row],[Item]]="","",Inventory[[#This Row],[ Opening Stock]]+Inventory[[#This Row],[ Quantity Received]]-Inventory[[#This Row],[ Quantity Used]])</f>
        <v/>
      </c>
    </row>
    <row r="99" spans="1:5" x14ac:dyDescent="0.3">
      <c r="A99" s="8"/>
      <c r="B99" s="8"/>
      <c r="C99" s="18" t="str">
        <f>IF(A99="","",
    SUMIFS(SupplierX!D$6:D$452, SupplierX!C$6:C$452, A99, SupplierX!B$6:B$452, "Item Received")
    + SUMIFS(SupplierY!D$6:D$452, SupplierY!C$6:C$452, A99, SupplierY!B$6:B$452, "Item Received")
)</f>
        <v/>
      </c>
      <c r="D99" s="8"/>
      <c r="E99" s="13" t="str">
        <f>IF(Inventory[[#This Row],[Item]]="","",Inventory[[#This Row],[ Opening Stock]]+Inventory[[#This Row],[ Quantity Received]]-Inventory[[#This Row],[ Quantity Used]])</f>
        <v/>
      </c>
    </row>
    <row r="100" spans="1:5" x14ac:dyDescent="0.3">
      <c r="A100" s="8"/>
      <c r="B100" s="8"/>
      <c r="C100" s="18" t="str">
        <f>IF(A100="","",
    SUMIFS(SupplierX!D$6:D$452, SupplierX!C$6:C$452, A100, SupplierX!B$6:B$452, "Item Received")
    + SUMIFS(SupplierY!D$6:D$452, SupplierY!C$6:C$452, A100, SupplierY!B$6:B$452, "Item Received")
)</f>
        <v/>
      </c>
      <c r="D100" s="8"/>
      <c r="E100" s="13" t="str">
        <f>IF(Inventory[[#This Row],[Item]]="","",Inventory[[#This Row],[ Opening Stock]]+Inventory[[#This Row],[ Quantity Received]]-Inventory[[#This Row],[ Quantity Used]])</f>
        <v/>
      </c>
    </row>
    <row r="101" spans="1:5" x14ac:dyDescent="0.3">
      <c r="A101" s="8"/>
      <c r="B101" s="8"/>
      <c r="C101" s="18" t="str">
        <f>IF(A101="","",
    SUMIFS(SupplierX!D$6:D$452, SupplierX!C$6:C$452, A101, SupplierX!B$6:B$452, "Item Received")
    + SUMIFS(SupplierY!D$6:D$452, SupplierY!C$6:C$452, A101, SupplierY!B$6:B$452, "Item Received")
)</f>
        <v/>
      </c>
      <c r="D101" s="8"/>
      <c r="E101" s="13" t="str">
        <f>IF(Inventory[[#This Row],[Item]]="","",Inventory[[#This Row],[ Opening Stock]]+Inventory[[#This Row],[ Quantity Received]]-Inventory[[#This Row],[ Quantity Used]])</f>
        <v/>
      </c>
    </row>
    <row r="102" spans="1:5" x14ac:dyDescent="0.3">
      <c r="A102" s="8"/>
      <c r="B102" s="8"/>
      <c r="C102" s="18" t="str">
        <f>IF(A102="","",
    SUMIFS(SupplierX!D$6:D$452, SupplierX!C$6:C$452, A102, SupplierX!B$6:B$452, "Item Received")
    + SUMIFS(SupplierY!D$6:D$452, SupplierY!C$6:C$452, A102, SupplierY!B$6:B$452, "Item Received")
)</f>
        <v/>
      </c>
      <c r="D102" s="8"/>
      <c r="E102" s="13" t="str">
        <f>IF(Inventory[[#This Row],[Item]]="","",Inventory[[#This Row],[ Opening Stock]]+Inventory[[#This Row],[ Quantity Received]]-Inventory[[#This Row],[ Quantity Used]])</f>
        <v/>
      </c>
    </row>
    <row r="103" spans="1:5" x14ac:dyDescent="0.3">
      <c r="A103" s="8"/>
      <c r="B103" s="8"/>
      <c r="C103" s="18" t="str">
        <f>IF(A103="","",
    SUMIFS(SupplierX!D$6:D$452, SupplierX!C$6:C$452, A103, SupplierX!B$6:B$452, "Item Received")
    + SUMIFS(SupplierY!D$6:D$452, SupplierY!C$6:C$452, A103, SupplierY!B$6:B$452, "Item Received")
)</f>
        <v/>
      </c>
      <c r="D103" s="8"/>
      <c r="E103" s="13" t="str">
        <f>IF(Inventory[[#This Row],[Item]]="","",Inventory[[#This Row],[ Opening Stock]]+Inventory[[#This Row],[ Quantity Received]]-Inventory[[#This Row],[ Quantity Used]])</f>
        <v/>
      </c>
    </row>
    <row r="104" spans="1:5" x14ac:dyDescent="0.3">
      <c r="A104" s="8"/>
      <c r="B104" s="8"/>
      <c r="C104" s="18" t="str">
        <f>IF(A104="","",
    SUMIFS(SupplierX!D$6:D$452, SupplierX!C$6:C$452, A104, SupplierX!B$6:B$452, "Item Received")
    + SUMIFS(SupplierY!D$6:D$452, SupplierY!C$6:C$452, A104, SupplierY!B$6:B$452, "Item Received")
)</f>
        <v/>
      </c>
      <c r="D104" s="8"/>
      <c r="E104" s="13" t="str">
        <f>IF(Inventory[[#This Row],[Item]]="","",Inventory[[#This Row],[ Opening Stock]]+Inventory[[#This Row],[ Quantity Received]]-Inventory[[#This Row],[ Quantity Used]])</f>
        <v/>
      </c>
    </row>
    <row r="105" spans="1:5" x14ac:dyDescent="0.3">
      <c r="A105" s="8"/>
      <c r="B105" s="8"/>
      <c r="C105" s="18" t="str">
        <f>IF(A105="","",
    SUMIFS(SupplierX!D$6:D$452, SupplierX!C$6:C$452, A105, SupplierX!B$6:B$452, "Item Received")
    + SUMIFS(SupplierY!D$6:D$452, SupplierY!C$6:C$452, A105, SupplierY!B$6:B$452, "Item Received")
)</f>
        <v/>
      </c>
      <c r="D105" s="8"/>
      <c r="E105" s="13" t="str">
        <f>IF(Inventory[[#This Row],[Item]]="","",Inventory[[#This Row],[ Opening Stock]]+Inventory[[#This Row],[ Quantity Received]]-Inventory[[#This Row],[ Quantity Used]])</f>
        <v/>
      </c>
    </row>
    <row r="106" spans="1:5" x14ac:dyDescent="0.3">
      <c r="A106" s="8"/>
      <c r="B106" s="8"/>
      <c r="C106" s="18" t="str">
        <f>IF(A106="","",
    SUMIFS(SupplierX!D$6:D$452, SupplierX!C$6:C$452, A106, SupplierX!B$6:B$452, "Item Received")
    + SUMIFS(SupplierY!D$6:D$452, SupplierY!C$6:C$452, A106, SupplierY!B$6:B$452, "Item Received")
)</f>
        <v/>
      </c>
      <c r="D106" s="8"/>
      <c r="E106" s="13" t="str">
        <f>IF(Inventory[[#This Row],[Item]]="","",Inventory[[#This Row],[ Opening Stock]]+Inventory[[#This Row],[ Quantity Received]]-Inventory[[#This Row],[ Quantity Used]])</f>
        <v/>
      </c>
    </row>
    <row r="107" spans="1:5" x14ac:dyDescent="0.3">
      <c r="A107" s="8"/>
      <c r="B107" s="8"/>
      <c r="C107" s="18" t="str">
        <f>IF(A107="","",
    SUMIFS(SupplierX!D$6:D$452, SupplierX!C$6:C$452, A107, SupplierX!B$6:B$452, "Item Received")
    + SUMIFS(SupplierY!D$6:D$452, SupplierY!C$6:C$452, A107, SupplierY!B$6:B$452, "Item Received")
)</f>
        <v/>
      </c>
      <c r="D107" s="8"/>
      <c r="E107" s="13" t="str">
        <f>IF(Inventory[[#This Row],[Item]]="","",Inventory[[#This Row],[ Opening Stock]]+Inventory[[#This Row],[ Quantity Received]]-Inventory[[#This Row],[ Quantity Used]])</f>
        <v/>
      </c>
    </row>
    <row r="108" spans="1:5" x14ac:dyDescent="0.3">
      <c r="A108" s="8"/>
      <c r="B108" s="8"/>
      <c r="C108" s="18" t="str">
        <f>IF(A108="","",
    SUMIFS(SupplierX!D$6:D$452, SupplierX!C$6:C$452, A108, SupplierX!B$6:B$452, "Item Received")
    + SUMIFS(SupplierY!D$6:D$452, SupplierY!C$6:C$452, A108, SupplierY!B$6:B$452, "Item Received")
)</f>
        <v/>
      </c>
      <c r="D108" s="8"/>
      <c r="E108" s="13" t="str">
        <f>IF(Inventory[[#This Row],[Item]]="","",Inventory[[#This Row],[ Opening Stock]]+Inventory[[#This Row],[ Quantity Received]]-Inventory[[#This Row],[ Quantity Used]])</f>
        <v/>
      </c>
    </row>
    <row r="109" spans="1:5" x14ac:dyDescent="0.3">
      <c r="A109" s="8"/>
      <c r="B109" s="8"/>
      <c r="C109" s="18" t="str">
        <f>IF(A109="","",
    SUMIFS(SupplierX!D$6:D$452, SupplierX!C$6:C$452, A109, SupplierX!B$6:B$452, "Item Received")
    + SUMIFS(SupplierY!D$6:D$452, SupplierY!C$6:C$452, A109, SupplierY!B$6:B$452, "Item Received")
)</f>
        <v/>
      </c>
      <c r="D109" s="8"/>
      <c r="E109" s="13" t="str">
        <f>IF(Inventory[[#This Row],[Item]]="","",Inventory[[#This Row],[ Opening Stock]]+Inventory[[#This Row],[ Quantity Received]]-Inventory[[#This Row],[ Quantity Used]])</f>
        <v/>
      </c>
    </row>
    <row r="110" spans="1:5" x14ac:dyDescent="0.3">
      <c r="A110" s="8"/>
      <c r="B110" s="8"/>
      <c r="C110" s="18" t="str">
        <f>IF(A110="","",
    SUMIFS(SupplierX!D$6:D$452, SupplierX!C$6:C$452, A110, SupplierX!B$6:B$452, "Item Received")
    + SUMIFS(SupplierY!D$6:D$452, SupplierY!C$6:C$452, A110, SupplierY!B$6:B$452, "Item Received")
)</f>
        <v/>
      </c>
      <c r="D110" s="8"/>
      <c r="E110" s="13" t="str">
        <f>IF(Inventory[[#This Row],[Item]]="","",Inventory[[#This Row],[ Opening Stock]]+Inventory[[#This Row],[ Quantity Received]]-Inventory[[#This Row],[ Quantity Used]])</f>
        <v/>
      </c>
    </row>
    <row r="111" spans="1:5" x14ac:dyDescent="0.3">
      <c r="A111" s="8"/>
      <c r="B111" s="8"/>
      <c r="C111" s="18" t="str">
        <f>IF(A111="","",
    SUMIFS(SupplierX!D$6:D$452, SupplierX!C$6:C$452, A111, SupplierX!B$6:B$452, "Item Received")
    + SUMIFS(SupplierY!D$6:D$452, SupplierY!C$6:C$452, A111, SupplierY!B$6:B$452, "Item Received")
)</f>
        <v/>
      </c>
      <c r="D111" s="8"/>
      <c r="E111" s="13" t="str">
        <f>IF(Inventory[[#This Row],[Item]]="","",Inventory[[#This Row],[ Opening Stock]]+Inventory[[#This Row],[ Quantity Received]]-Inventory[[#This Row],[ Quantity Used]])</f>
        <v/>
      </c>
    </row>
    <row r="112" spans="1:5" x14ac:dyDescent="0.3">
      <c r="A112" s="8"/>
      <c r="B112" s="8"/>
      <c r="C112" s="18" t="str">
        <f>IF(A112="","",
    SUMIFS(SupplierX!D$6:D$452, SupplierX!C$6:C$452, A112, SupplierX!B$6:B$452, "Item Received")
    + SUMIFS(SupplierY!D$6:D$452, SupplierY!C$6:C$452, A112, SupplierY!B$6:B$452, "Item Received")
)</f>
        <v/>
      </c>
      <c r="D112" s="8"/>
      <c r="E112" s="13" t="str">
        <f>IF(Inventory[[#This Row],[Item]]="","",Inventory[[#This Row],[ Opening Stock]]+Inventory[[#This Row],[ Quantity Received]]-Inventory[[#This Row],[ Quantity Used]])</f>
        <v/>
      </c>
    </row>
    <row r="113" spans="1:5" x14ac:dyDescent="0.3">
      <c r="A113" s="8"/>
      <c r="B113" s="8"/>
      <c r="C113" s="18" t="str">
        <f>IF(A113="","",
    SUMIFS(SupplierX!D$6:D$452, SupplierX!C$6:C$452, A113, SupplierX!B$6:B$452, "Item Received")
    + SUMIFS(SupplierY!D$6:D$452, SupplierY!C$6:C$452, A113, SupplierY!B$6:B$452, "Item Received")
)</f>
        <v/>
      </c>
      <c r="D113" s="8"/>
      <c r="E113" s="13" t="str">
        <f>IF(Inventory[[#This Row],[Item]]="","",Inventory[[#This Row],[ Opening Stock]]+Inventory[[#This Row],[ Quantity Received]]-Inventory[[#This Row],[ Quantity Used]])</f>
        <v/>
      </c>
    </row>
    <row r="114" spans="1:5" x14ac:dyDescent="0.3">
      <c r="A114" s="8"/>
      <c r="B114" s="8"/>
      <c r="C114" s="18" t="str">
        <f>IF(A114="","",
    SUMIFS(SupplierX!D$6:D$452, SupplierX!C$6:C$452, A114, SupplierX!B$6:B$452, "Item Received")
    + SUMIFS(SupplierY!D$6:D$452, SupplierY!C$6:C$452, A114, SupplierY!B$6:B$452, "Item Received")
)</f>
        <v/>
      </c>
      <c r="D114" s="8"/>
      <c r="E114" s="13" t="str">
        <f>IF(Inventory[[#This Row],[Item]]="","",Inventory[[#This Row],[ Opening Stock]]+Inventory[[#This Row],[ Quantity Received]]-Inventory[[#This Row],[ Quantity Used]])</f>
        <v/>
      </c>
    </row>
    <row r="115" spans="1:5" x14ac:dyDescent="0.3">
      <c r="A115" s="8"/>
      <c r="B115" s="8"/>
      <c r="C115" s="18" t="str">
        <f>IF(A115="","",
    SUMIFS(SupplierX!D$6:D$452, SupplierX!C$6:C$452, A115, SupplierX!B$6:B$452, "Item Received")
    + SUMIFS(SupplierY!D$6:D$452, SupplierY!C$6:C$452, A115, SupplierY!B$6:B$452, "Item Received")
)</f>
        <v/>
      </c>
      <c r="D115" s="8"/>
      <c r="E115" s="13" t="str">
        <f>IF(Inventory[[#This Row],[Item]]="","",Inventory[[#This Row],[ Opening Stock]]+Inventory[[#This Row],[ Quantity Received]]-Inventory[[#This Row],[ Quantity Used]])</f>
        <v/>
      </c>
    </row>
    <row r="116" spans="1:5" x14ac:dyDescent="0.3">
      <c r="A116" s="8"/>
      <c r="B116" s="8"/>
      <c r="C116" s="18" t="str">
        <f>IF(A116="","",
    SUMIFS(SupplierX!D$6:D$452, SupplierX!C$6:C$452, A116, SupplierX!B$6:B$452, "Item Received")
    + SUMIFS(SupplierY!D$6:D$452, SupplierY!C$6:C$452, A116, SupplierY!B$6:B$452, "Item Received")
)</f>
        <v/>
      </c>
      <c r="D116" s="8"/>
      <c r="E116" s="13" t="str">
        <f>IF(Inventory[[#This Row],[Item]]="","",Inventory[[#This Row],[ Opening Stock]]+Inventory[[#This Row],[ Quantity Received]]-Inventory[[#This Row],[ Quantity Used]])</f>
        <v/>
      </c>
    </row>
    <row r="117" spans="1:5" x14ac:dyDescent="0.3">
      <c r="A117" s="8"/>
      <c r="B117" s="8"/>
      <c r="C117" s="18" t="str">
        <f>IF(A117="","",
    SUMIFS(SupplierX!D$6:D$452, SupplierX!C$6:C$452, A117, SupplierX!B$6:B$452, "Item Received")
    + SUMIFS(SupplierY!D$6:D$452, SupplierY!C$6:C$452, A117, SupplierY!B$6:B$452, "Item Received")
)</f>
        <v/>
      </c>
      <c r="D117" s="8"/>
      <c r="E117" s="13" t="str">
        <f>IF(Inventory[[#This Row],[Item]]="","",Inventory[[#This Row],[ Opening Stock]]+Inventory[[#This Row],[ Quantity Received]]-Inventory[[#This Row],[ Quantity Used]])</f>
        <v/>
      </c>
    </row>
    <row r="118" spans="1:5" x14ac:dyDescent="0.3">
      <c r="A118" s="8"/>
      <c r="B118" s="8"/>
      <c r="C118" s="18" t="str">
        <f>IF(A118="","",
    SUMIFS(SupplierX!D$6:D$452, SupplierX!C$6:C$452, A118, SupplierX!B$6:B$452, "Item Received")
    + SUMIFS(SupplierY!D$6:D$452, SupplierY!C$6:C$452, A118, SupplierY!B$6:B$452, "Item Received")
)</f>
        <v/>
      </c>
      <c r="D118" s="8"/>
      <c r="E118" s="13" t="str">
        <f>IF(Inventory[[#This Row],[Item]]="","",Inventory[[#This Row],[ Opening Stock]]+Inventory[[#This Row],[ Quantity Received]]-Inventory[[#This Row],[ Quantity Used]])</f>
        <v/>
      </c>
    </row>
    <row r="119" spans="1:5" x14ac:dyDescent="0.3">
      <c r="A119" s="8"/>
      <c r="B119" s="8"/>
      <c r="C119" s="18" t="str">
        <f>IF(A119="","",
    SUMIFS(SupplierX!D$6:D$452, SupplierX!C$6:C$452, A119, SupplierX!B$6:B$452, "Item Received")
    + SUMIFS(SupplierY!D$6:D$452, SupplierY!C$6:C$452, A119, SupplierY!B$6:B$452, "Item Received")
)</f>
        <v/>
      </c>
      <c r="D119" s="8"/>
      <c r="E119" s="13" t="str">
        <f>IF(Inventory[[#This Row],[Item]]="","",Inventory[[#This Row],[ Opening Stock]]+Inventory[[#This Row],[ Quantity Received]]-Inventory[[#This Row],[ Quantity Used]])</f>
        <v/>
      </c>
    </row>
    <row r="120" spans="1:5" x14ac:dyDescent="0.3">
      <c r="A120" s="8"/>
      <c r="B120" s="8"/>
      <c r="C120" s="18" t="str">
        <f>IF(A120="","",
    SUMIFS(SupplierX!D$6:D$452, SupplierX!C$6:C$452, A120, SupplierX!B$6:B$452, "Item Received")
    + SUMIFS(SupplierY!D$6:D$452, SupplierY!C$6:C$452, A120, SupplierY!B$6:B$452, "Item Received")
)</f>
        <v/>
      </c>
      <c r="D120" s="8"/>
      <c r="E120" s="13" t="str">
        <f>IF(Inventory[[#This Row],[Item]]="","",Inventory[[#This Row],[ Opening Stock]]+Inventory[[#This Row],[ Quantity Received]]-Inventory[[#This Row],[ Quantity Used]])</f>
        <v/>
      </c>
    </row>
    <row r="121" spans="1:5" x14ac:dyDescent="0.3">
      <c r="A121" s="8"/>
      <c r="B121" s="8"/>
      <c r="C121" s="18" t="str">
        <f>IF(A121="","",
    SUMIFS(SupplierX!D$6:D$452, SupplierX!C$6:C$452, A121, SupplierX!B$6:B$452, "Item Received")
    + SUMIFS(SupplierY!D$6:D$452, SupplierY!C$6:C$452, A121, SupplierY!B$6:B$452, "Item Received")
)</f>
        <v/>
      </c>
      <c r="D121" s="8"/>
      <c r="E121" s="13" t="str">
        <f>IF(Inventory[[#This Row],[Item]]="","",Inventory[[#This Row],[ Opening Stock]]+Inventory[[#This Row],[ Quantity Received]]-Inventory[[#This Row],[ Quantity Used]])</f>
        <v/>
      </c>
    </row>
    <row r="122" spans="1:5" x14ac:dyDescent="0.3">
      <c r="A122" s="8"/>
      <c r="B122" s="8"/>
      <c r="C122" s="18" t="str">
        <f>IF(A122="","",
    SUMIFS(SupplierX!D$6:D$452, SupplierX!C$6:C$452, A122, SupplierX!B$6:B$452, "Item Received")
    + SUMIFS(SupplierY!D$6:D$452, SupplierY!C$6:C$452, A122, SupplierY!B$6:B$452, "Item Received")
)</f>
        <v/>
      </c>
      <c r="D122" s="8"/>
      <c r="E122" s="13" t="str">
        <f>IF(Inventory[[#This Row],[Item]]="","",Inventory[[#This Row],[ Opening Stock]]+Inventory[[#This Row],[ Quantity Received]]-Inventory[[#This Row],[ Quantity Used]])</f>
        <v/>
      </c>
    </row>
    <row r="123" spans="1:5" x14ac:dyDescent="0.3">
      <c r="A123" s="8"/>
      <c r="B123" s="8"/>
      <c r="C123" s="18" t="str">
        <f>IF(A123="","",
    SUMIFS(SupplierX!D$6:D$452, SupplierX!C$6:C$452, A123, SupplierX!B$6:B$452, "Item Received")
    + SUMIFS(SupplierY!D$6:D$452, SupplierY!C$6:C$452, A123, SupplierY!B$6:B$452, "Item Received")
)</f>
        <v/>
      </c>
      <c r="D123" s="8"/>
      <c r="E123" s="13" t="str">
        <f>IF(Inventory[[#This Row],[Item]]="","",Inventory[[#This Row],[ Opening Stock]]+Inventory[[#This Row],[ Quantity Received]]-Inventory[[#This Row],[ Quantity Used]])</f>
        <v/>
      </c>
    </row>
    <row r="124" spans="1:5" x14ac:dyDescent="0.3">
      <c r="A124" s="8"/>
      <c r="B124" s="8"/>
      <c r="C124" s="18" t="str">
        <f>IF(A124="","",
    SUMIFS(SupplierX!D$6:D$452, SupplierX!C$6:C$452, A124, SupplierX!B$6:B$452, "Item Received")
    + SUMIFS(SupplierY!D$6:D$452, SupplierY!C$6:C$452, A124, SupplierY!B$6:B$452, "Item Received")
)</f>
        <v/>
      </c>
      <c r="D124" s="8"/>
      <c r="E124" s="13" t="str">
        <f>IF(Inventory[[#This Row],[Item]]="","",Inventory[[#This Row],[ Opening Stock]]+Inventory[[#This Row],[ Quantity Received]]-Inventory[[#This Row],[ Quantity Used]])</f>
        <v/>
      </c>
    </row>
    <row r="125" spans="1:5" x14ac:dyDescent="0.3">
      <c r="A125" s="8"/>
      <c r="B125" s="8"/>
      <c r="C125" s="18" t="str">
        <f>IF(A125="","",
    SUMIFS(SupplierX!D$6:D$452, SupplierX!C$6:C$452, A125, SupplierX!B$6:B$452, "Item Received")
    + SUMIFS(SupplierY!D$6:D$452, SupplierY!C$6:C$452, A125, SupplierY!B$6:B$452, "Item Received")
)</f>
        <v/>
      </c>
      <c r="D125" s="8"/>
      <c r="E125" s="13" t="str">
        <f>IF(Inventory[[#This Row],[Item]]="","",Inventory[[#This Row],[ Opening Stock]]+Inventory[[#This Row],[ Quantity Received]]-Inventory[[#This Row],[ Quantity Used]])</f>
        <v/>
      </c>
    </row>
    <row r="126" spans="1:5" x14ac:dyDescent="0.3">
      <c r="A126" s="8"/>
      <c r="B126" s="8"/>
      <c r="C126" s="18" t="str">
        <f>IF(A126="","",
    SUMIFS(SupplierX!D$6:D$452, SupplierX!C$6:C$452, A126, SupplierX!B$6:B$452, "Item Received")
    + SUMIFS(SupplierY!D$6:D$452, SupplierY!C$6:C$452, A126, SupplierY!B$6:B$452, "Item Received")
)</f>
        <v/>
      </c>
      <c r="D126" s="8"/>
      <c r="E126" s="13" t="str">
        <f>IF(Inventory[[#This Row],[Item]]="","",Inventory[[#This Row],[ Opening Stock]]+Inventory[[#This Row],[ Quantity Received]]-Inventory[[#This Row],[ Quantity Used]])</f>
        <v/>
      </c>
    </row>
    <row r="127" spans="1:5" x14ac:dyDescent="0.3">
      <c r="A127" s="8"/>
      <c r="B127" s="8"/>
      <c r="C127" s="18" t="str">
        <f>IF(A127="","",
    SUMIFS(SupplierX!D$6:D$452, SupplierX!C$6:C$452, A127, SupplierX!B$6:B$452, "Item Received")
    + SUMIFS(SupplierY!D$6:D$452, SupplierY!C$6:C$452, A127, SupplierY!B$6:B$452, "Item Received")
)</f>
        <v/>
      </c>
      <c r="D127" s="8"/>
      <c r="E127" s="13" t="str">
        <f>IF(Inventory[[#This Row],[Item]]="","",Inventory[[#This Row],[ Opening Stock]]+Inventory[[#This Row],[ Quantity Received]]-Inventory[[#This Row],[ Quantity Used]])</f>
        <v/>
      </c>
    </row>
    <row r="128" spans="1:5" x14ac:dyDescent="0.3">
      <c r="A128" s="8"/>
      <c r="B128" s="8"/>
      <c r="C128" s="18" t="str">
        <f>IF(A128="","",
    SUMIFS(SupplierX!D$6:D$452, SupplierX!C$6:C$452, A128, SupplierX!B$6:B$452, "Item Received")
    + SUMIFS(SupplierY!D$6:D$452, SupplierY!C$6:C$452, A128, SupplierY!B$6:B$452, "Item Received")
)</f>
        <v/>
      </c>
      <c r="D128" s="8"/>
      <c r="E128" s="13" t="str">
        <f>IF(Inventory[[#This Row],[Item]]="","",Inventory[[#This Row],[ Opening Stock]]+Inventory[[#This Row],[ Quantity Received]]-Inventory[[#This Row],[ Quantity Used]])</f>
        <v/>
      </c>
    </row>
    <row r="129" spans="1:5" x14ac:dyDescent="0.3">
      <c r="A129" s="8"/>
      <c r="B129" s="8"/>
      <c r="C129" s="18" t="str">
        <f>IF(A129="","",
    SUMIFS(SupplierX!D$6:D$452, SupplierX!C$6:C$452, A129, SupplierX!B$6:B$452, "Item Received")
    + SUMIFS(SupplierY!D$6:D$452, SupplierY!C$6:C$452, A129, SupplierY!B$6:B$452, "Item Received")
)</f>
        <v/>
      </c>
      <c r="D129" s="8"/>
      <c r="E129" s="13" t="str">
        <f>IF(Inventory[[#This Row],[Item]]="","",Inventory[[#This Row],[ Opening Stock]]+Inventory[[#This Row],[ Quantity Received]]-Inventory[[#This Row],[ Quantity Used]])</f>
        <v/>
      </c>
    </row>
    <row r="130" spans="1:5" x14ac:dyDescent="0.3">
      <c r="A130" s="8"/>
      <c r="B130" s="8"/>
      <c r="C130" s="18" t="str">
        <f>IF(A130="","",
    SUMIFS(SupplierX!D$6:D$452, SupplierX!C$6:C$452, A130, SupplierX!B$6:B$452, "Item Received")
    + SUMIFS(SupplierY!D$6:D$452, SupplierY!C$6:C$452, A130, SupplierY!B$6:B$452, "Item Received")
)</f>
        <v/>
      </c>
      <c r="D130" s="8"/>
      <c r="E130" s="13" t="str">
        <f>IF(Inventory[[#This Row],[Item]]="","",Inventory[[#This Row],[ Opening Stock]]+Inventory[[#This Row],[ Quantity Received]]-Inventory[[#This Row],[ Quantity Used]])</f>
        <v/>
      </c>
    </row>
    <row r="131" spans="1:5" x14ac:dyDescent="0.3">
      <c r="A131" s="8"/>
      <c r="B131" s="8"/>
      <c r="C131" s="18" t="str">
        <f>IF(A131="","",
    SUMIFS(SupplierX!D$6:D$452, SupplierX!C$6:C$452, A131, SupplierX!B$6:B$452, "Item Received")
    + SUMIFS(SupplierY!D$6:D$452, SupplierY!C$6:C$452, A131, SupplierY!B$6:B$452, "Item Received")
)</f>
        <v/>
      </c>
      <c r="D131" s="8"/>
      <c r="E131" s="13" t="str">
        <f>IF(Inventory[[#This Row],[Item]]="","",Inventory[[#This Row],[ Opening Stock]]+Inventory[[#This Row],[ Quantity Received]]-Inventory[[#This Row],[ Quantity Used]])</f>
        <v/>
      </c>
    </row>
    <row r="132" spans="1:5" x14ac:dyDescent="0.3">
      <c r="A132" s="8"/>
      <c r="B132" s="8"/>
      <c r="C132" s="18" t="str">
        <f>IF(A132="","",
    SUMIFS(SupplierX!D$6:D$452, SupplierX!C$6:C$452, A132, SupplierX!B$6:B$452, "Item Received")
    + SUMIFS(SupplierY!D$6:D$452, SupplierY!C$6:C$452, A132, SupplierY!B$6:B$452, "Item Received")
)</f>
        <v/>
      </c>
      <c r="D132" s="8"/>
      <c r="E132" s="13" t="str">
        <f>IF(Inventory[[#This Row],[Item]]="","",Inventory[[#This Row],[ Opening Stock]]+Inventory[[#This Row],[ Quantity Received]]-Inventory[[#This Row],[ Quantity Used]])</f>
        <v/>
      </c>
    </row>
    <row r="133" spans="1:5" x14ac:dyDescent="0.3">
      <c r="A133" s="8"/>
      <c r="B133" s="8"/>
      <c r="C133" s="18" t="str">
        <f>IF(A133="","",
    SUMIFS(SupplierX!D$6:D$452, SupplierX!C$6:C$452, A133, SupplierX!B$6:B$452, "Item Received")
    + SUMIFS(SupplierY!D$6:D$452, SupplierY!C$6:C$452, A133, SupplierY!B$6:B$452, "Item Received")
)</f>
        <v/>
      </c>
      <c r="D133" s="8"/>
      <c r="E133" s="13" t="str">
        <f>IF(Inventory[[#This Row],[Item]]="","",Inventory[[#This Row],[ Opening Stock]]+Inventory[[#This Row],[ Quantity Received]]-Inventory[[#This Row],[ Quantity Used]])</f>
        <v/>
      </c>
    </row>
    <row r="134" spans="1:5" x14ac:dyDescent="0.3">
      <c r="A134" s="8"/>
      <c r="B134" s="8"/>
      <c r="C134" s="18" t="str">
        <f>IF(A134="","",
    SUMIFS(SupplierX!D$6:D$452, SupplierX!C$6:C$452, A134, SupplierX!B$6:B$452, "Item Received")
    + SUMIFS(SupplierY!D$6:D$452, SupplierY!C$6:C$452, A134, SupplierY!B$6:B$452, "Item Received")
)</f>
        <v/>
      </c>
      <c r="D134" s="8"/>
      <c r="E134" s="13" t="str">
        <f>IF(Inventory[[#This Row],[Item]]="","",Inventory[[#This Row],[ Opening Stock]]+Inventory[[#This Row],[ Quantity Received]]-Inventory[[#This Row],[ Quantity Used]])</f>
        <v/>
      </c>
    </row>
    <row r="135" spans="1:5" x14ac:dyDescent="0.3">
      <c r="A135" s="8"/>
      <c r="B135" s="8"/>
      <c r="C135" s="18" t="str">
        <f>IF(A135="","",
    SUMIFS(SupplierX!D$6:D$452, SupplierX!C$6:C$452, A135, SupplierX!B$6:B$452, "Item Received")
    + SUMIFS(SupplierY!D$6:D$452, SupplierY!C$6:C$452, A135, SupplierY!B$6:B$452, "Item Received")
)</f>
        <v/>
      </c>
      <c r="D135" s="8"/>
      <c r="E135" s="13" t="str">
        <f>IF(Inventory[[#This Row],[Item]]="","",Inventory[[#This Row],[ Opening Stock]]+Inventory[[#This Row],[ Quantity Received]]-Inventory[[#This Row],[ Quantity Used]])</f>
        <v/>
      </c>
    </row>
    <row r="136" spans="1:5" x14ac:dyDescent="0.3">
      <c r="A136" s="8"/>
      <c r="B136" s="8"/>
      <c r="C136" s="18" t="str">
        <f>IF(A136="","",
    SUMIFS(SupplierX!D$6:D$452, SupplierX!C$6:C$452, A136, SupplierX!B$6:B$452, "Item Received")
    + SUMIFS(SupplierY!D$6:D$452, SupplierY!C$6:C$452, A136, SupplierY!B$6:B$452, "Item Received")
)</f>
        <v/>
      </c>
      <c r="D136" s="8"/>
      <c r="E136" s="13" t="str">
        <f>IF(Inventory[[#This Row],[Item]]="","",Inventory[[#This Row],[ Opening Stock]]+Inventory[[#This Row],[ Quantity Received]]-Inventory[[#This Row],[ Quantity Used]])</f>
        <v/>
      </c>
    </row>
    <row r="137" spans="1:5" x14ac:dyDescent="0.3">
      <c r="A137" s="8"/>
      <c r="B137" s="8"/>
      <c r="C137" s="18" t="str">
        <f>IF(A137="","",
    SUMIFS(SupplierX!D$6:D$452, SupplierX!C$6:C$452, A137, SupplierX!B$6:B$452, "Item Received")
    + SUMIFS(SupplierY!D$6:D$452, SupplierY!C$6:C$452, A137, SupplierY!B$6:B$452, "Item Received")
)</f>
        <v/>
      </c>
      <c r="D137" s="8"/>
      <c r="E137" s="13" t="str">
        <f>IF(Inventory[[#This Row],[Item]]="","",Inventory[[#This Row],[ Opening Stock]]+Inventory[[#This Row],[ Quantity Received]]-Inventory[[#This Row],[ Quantity Used]])</f>
        <v/>
      </c>
    </row>
    <row r="138" spans="1:5" x14ac:dyDescent="0.3">
      <c r="A138" s="8"/>
      <c r="B138" s="8"/>
      <c r="C138" s="18" t="str">
        <f>IF(A138="","",
    SUMIFS(SupplierX!D$6:D$452, SupplierX!C$6:C$452, A138, SupplierX!B$6:B$452, "Item Received")
    + SUMIFS(SupplierY!D$6:D$452, SupplierY!C$6:C$452, A138, SupplierY!B$6:B$452, "Item Received")
)</f>
        <v/>
      </c>
      <c r="D138" s="8"/>
      <c r="E138" s="13" t="str">
        <f>IF(Inventory[[#This Row],[Item]]="","",Inventory[[#This Row],[ Opening Stock]]+Inventory[[#This Row],[ Quantity Received]]-Inventory[[#This Row],[ Quantity Used]])</f>
        <v/>
      </c>
    </row>
    <row r="139" spans="1:5" x14ac:dyDescent="0.3">
      <c r="A139" s="8"/>
      <c r="B139" s="8"/>
      <c r="C139" s="18" t="str">
        <f>IF(A139="","",
    SUMIFS(SupplierX!D$6:D$452, SupplierX!C$6:C$452, A139, SupplierX!B$6:B$452, "Item Received")
    + SUMIFS(SupplierY!D$6:D$452, SupplierY!C$6:C$452, A139, SupplierY!B$6:B$452, "Item Received")
)</f>
        <v/>
      </c>
      <c r="D139" s="8"/>
      <c r="E139" s="13" t="str">
        <f>IF(Inventory[[#This Row],[Item]]="","",Inventory[[#This Row],[ Opening Stock]]+Inventory[[#This Row],[ Quantity Received]]-Inventory[[#This Row],[ Quantity Used]])</f>
        <v/>
      </c>
    </row>
    <row r="140" spans="1:5" x14ac:dyDescent="0.3">
      <c r="A140" s="8"/>
      <c r="B140" s="8"/>
      <c r="C140" s="18" t="str">
        <f>IF(A140="","",
    SUMIFS(SupplierX!D$6:D$452, SupplierX!C$6:C$452, A140, SupplierX!B$6:B$452, "Item Received")
    + SUMIFS(SupplierY!D$6:D$452, SupplierY!C$6:C$452, A140, SupplierY!B$6:B$452, "Item Received")
)</f>
        <v/>
      </c>
      <c r="D140" s="8"/>
      <c r="E140" s="13" t="str">
        <f>IF(Inventory[[#This Row],[Item]]="","",Inventory[[#This Row],[ Opening Stock]]+Inventory[[#This Row],[ Quantity Received]]-Inventory[[#This Row],[ Quantity Used]])</f>
        <v/>
      </c>
    </row>
    <row r="141" spans="1:5" x14ac:dyDescent="0.3">
      <c r="A141" s="8"/>
      <c r="B141" s="8"/>
      <c r="C141" s="18" t="str">
        <f>IF(A141="","",
    SUMIFS(SupplierX!D$6:D$452, SupplierX!C$6:C$452, A141, SupplierX!B$6:B$452, "Item Received")
    + SUMIFS(SupplierY!D$6:D$452, SupplierY!C$6:C$452, A141, SupplierY!B$6:B$452, "Item Received")
)</f>
        <v/>
      </c>
      <c r="D141" s="8"/>
      <c r="E141" s="13" t="str">
        <f>IF(Inventory[[#This Row],[Item]]="","",Inventory[[#This Row],[ Opening Stock]]+Inventory[[#This Row],[ Quantity Received]]-Inventory[[#This Row],[ Quantity Used]])</f>
        <v/>
      </c>
    </row>
    <row r="142" spans="1:5" x14ac:dyDescent="0.3">
      <c r="A142" s="8"/>
      <c r="B142" s="8"/>
      <c r="C142" s="18" t="str">
        <f>IF(A142="","",
    SUMIFS(SupplierX!D$6:D$452, SupplierX!C$6:C$452, A142, SupplierX!B$6:B$452, "Item Received")
    + SUMIFS(SupplierY!D$6:D$452, SupplierY!C$6:C$452, A142, SupplierY!B$6:B$452, "Item Received")
)</f>
        <v/>
      </c>
      <c r="D142" s="8"/>
      <c r="E142" s="13" t="str">
        <f>IF(Inventory[[#This Row],[Item]]="","",Inventory[[#This Row],[ Opening Stock]]+Inventory[[#This Row],[ Quantity Received]]-Inventory[[#This Row],[ Quantity Used]])</f>
        <v/>
      </c>
    </row>
    <row r="143" spans="1:5" x14ac:dyDescent="0.3">
      <c r="A143" s="8"/>
      <c r="B143" s="8"/>
      <c r="C143" s="18" t="str">
        <f>IF(A143="","",
    SUMIFS(SupplierX!D$6:D$452, SupplierX!C$6:C$452, A143, SupplierX!B$6:B$452, "Item Received")
    + SUMIFS(SupplierY!D$6:D$452, SupplierY!C$6:C$452, A143, SupplierY!B$6:B$452, "Item Received")
)</f>
        <v/>
      </c>
      <c r="D143" s="8"/>
      <c r="E143" s="13" t="str">
        <f>IF(Inventory[[#This Row],[Item]]="","",Inventory[[#This Row],[ Opening Stock]]+Inventory[[#This Row],[ Quantity Received]]-Inventory[[#This Row],[ Quantity Used]])</f>
        <v/>
      </c>
    </row>
    <row r="144" spans="1:5" x14ac:dyDescent="0.3">
      <c r="A144" s="8"/>
      <c r="B144" s="8"/>
      <c r="C144" s="18" t="str">
        <f>IF(A144="","",
    SUMIFS(SupplierX!D$6:D$452, SupplierX!C$6:C$452, A144, SupplierX!B$6:B$452, "Item Received")
    + SUMIFS(SupplierY!D$6:D$452, SupplierY!C$6:C$452, A144, SupplierY!B$6:B$452, "Item Received")
)</f>
        <v/>
      </c>
      <c r="D144" s="8"/>
      <c r="E144" s="13" t="str">
        <f>IF(Inventory[[#This Row],[Item]]="","",Inventory[[#This Row],[ Opening Stock]]+Inventory[[#This Row],[ Quantity Received]]-Inventory[[#This Row],[ Quantity Used]])</f>
        <v/>
      </c>
    </row>
    <row r="145" spans="1:5" x14ac:dyDescent="0.3">
      <c r="A145" s="8"/>
      <c r="B145" s="8"/>
      <c r="C145" s="18" t="str">
        <f>IF(A145="","",
    SUMIFS(SupplierX!D$6:D$452, SupplierX!C$6:C$452, A145, SupplierX!B$6:B$452, "Item Received")
    + SUMIFS(SupplierY!D$6:D$452, SupplierY!C$6:C$452, A145, SupplierY!B$6:B$452, "Item Received")
)</f>
        <v/>
      </c>
      <c r="D145" s="8"/>
      <c r="E145" s="13" t="str">
        <f>IF(Inventory[[#This Row],[Item]]="","",Inventory[[#This Row],[ Opening Stock]]+Inventory[[#This Row],[ Quantity Received]]-Inventory[[#This Row],[ Quantity Used]])</f>
        <v/>
      </c>
    </row>
    <row r="146" spans="1:5" x14ac:dyDescent="0.3">
      <c r="A146" s="8"/>
      <c r="B146" s="8"/>
      <c r="C146" s="18" t="str">
        <f>IF(A146="","",
    SUMIFS(SupplierX!D$6:D$452, SupplierX!C$6:C$452, A146, SupplierX!B$6:B$452, "Item Received")
    + SUMIFS(SupplierY!D$6:D$452, SupplierY!C$6:C$452, A146, SupplierY!B$6:B$452, "Item Received")
)</f>
        <v/>
      </c>
      <c r="D146" s="8"/>
      <c r="E146" s="13" t="str">
        <f>IF(Inventory[[#This Row],[Item]]="","",Inventory[[#This Row],[ Opening Stock]]+Inventory[[#This Row],[ Quantity Received]]-Inventory[[#This Row],[ Quantity Used]])</f>
        <v/>
      </c>
    </row>
    <row r="147" spans="1:5" x14ac:dyDescent="0.3">
      <c r="A147" s="8"/>
      <c r="B147" s="8"/>
      <c r="C147" s="18" t="str">
        <f>IF(A147="","",
    SUMIFS(SupplierX!D$6:D$452, SupplierX!C$6:C$452, A147, SupplierX!B$6:B$452, "Item Received")
    + SUMIFS(SupplierY!D$6:D$452, SupplierY!C$6:C$452, A147, SupplierY!B$6:B$452, "Item Received")
)</f>
        <v/>
      </c>
      <c r="D147" s="8"/>
      <c r="E147" s="13" t="str">
        <f>IF(Inventory[[#This Row],[Item]]="","",Inventory[[#This Row],[ Opening Stock]]+Inventory[[#This Row],[ Quantity Received]]-Inventory[[#This Row],[ Quantity Used]])</f>
        <v/>
      </c>
    </row>
    <row r="148" spans="1:5" x14ac:dyDescent="0.3">
      <c r="A148" s="8"/>
      <c r="B148" s="8"/>
      <c r="C148" s="18" t="str">
        <f>IF(A148="","",
    SUMIFS(SupplierX!D$6:D$452, SupplierX!C$6:C$452, A148, SupplierX!B$6:B$452, "Item Received")
    + SUMIFS(SupplierY!D$6:D$452, SupplierY!C$6:C$452, A148, SupplierY!B$6:B$452, "Item Received")
)</f>
        <v/>
      </c>
      <c r="D148" s="8"/>
      <c r="E148" s="13" t="str">
        <f>IF(Inventory[[#This Row],[Item]]="","",Inventory[[#This Row],[ Opening Stock]]+Inventory[[#This Row],[ Quantity Received]]-Inventory[[#This Row],[ Quantity Used]])</f>
        <v/>
      </c>
    </row>
    <row r="149" spans="1:5" x14ac:dyDescent="0.3">
      <c r="A149" s="8"/>
      <c r="B149" s="8"/>
      <c r="C149" s="18" t="str">
        <f>IF(A149="","",
    SUMIFS(SupplierX!D$6:D$452, SupplierX!C$6:C$452, A149, SupplierX!B$6:B$452, "Item Received")
    + SUMIFS(SupplierY!D$6:D$452, SupplierY!C$6:C$452, A149, SupplierY!B$6:B$452, "Item Received")
)</f>
        <v/>
      </c>
      <c r="D149" s="8"/>
      <c r="E149" s="13" t="str">
        <f>IF(Inventory[[#This Row],[Item]]="","",Inventory[[#This Row],[ Opening Stock]]+Inventory[[#This Row],[ Quantity Received]]-Inventory[[#This Row],[ Quantity Used]])</f>
        <v/>
      </c>
    </row>
    <row r="150" spans="1:5" x14ac:dyDescent="0.3">
      <c r="A150" s="8"/>
      <c r="B150" s="8"/>
      <c r="C150" s="18" t="str">
        <f>IF(A150="","",
    SUMIFS(SupplierX!D$6:D$452, SupplierX!C$6:C$452, A150, SupplierX!B$6:B$452, "Item Received")
    + SUMIFS(SupplierY!D$6:D$452, SupplierY!C$6:C$452, A150, SupplierY!B$6:B$452, "Item Received")
)</f>
        <v/>
      </c>
      <c r="D150" s="8"/>
      <c r="E150" s="13" t="str">
        <f>IF(Inventory[[#This Row],[Item]]="","",Inventory[[#This Row],[ Opening Stock]]+Inventory[[#This Row],[ Quantity Received]]-Inventory[[#This Row],[ Quantity Used]])</f>
        <v/>
      </c>
    </row>
    <row r="151" spans="1:5" x14ac:dyDescent="0.3">
      <c r="A151" s="8"/>
      <c r="B151" s="8"/>
      <c r="C151" s="18" t="str">
        <f>IF(A151="","",
    SUMIFS(SupplierX!D$6:D$452, SupplierX!C$6:C$452, A151, SupplierX!B$6:B$452, "Item Received")
    + SUMIFS(SupplierY!D$6:D$452, SupplierY!C$6:C$452, A151, SupplierY!B$6:B$452, "Item Received")
)</f>
        <v/>
      </c>
      <c r="D151" s="8"/>
      <c r="E151" s="13" t="str">
        <f>IF(Inventory[[#This Row],[Item]]="","",Inventory[[#This Row],[ Opening Stock]]+Inventory[[#This Row],[ Quantity Received]]-Inventory[[#This Row],[ Quantity Used]])</f>
        <v/>
      </c>
    </row>
    <row r="152" spans="1:5" x14ac:dyDescent="0.3">
      <c r="A152" s="8"/>
      <c r="B152" s="8"/>
      <c r="C152" s="18" t="str">
        <f>IF(A152="","",
    SUMIFS(SupplierX!D$6:D$452, SupplierX!C$6:C$452, A152, SupplierX!B$6:B$452, "Item Received")
    + SUMIFS(SupplierY!D$6:D$452, SupplierY!C$6:C$452, A152, SupplierY!B$6:B$452, "Item Received")
)</f>
        <v/>
      </c>
      <c r="D152" s="8"/>
      <c r="E152" s="13" t="str">
        <f>IF(Inventory[[#This Row],[Item]]="","",Inventory[[#This Row],[ Opening Stock]]+Inventory[[#This Row],[ Quantity Received]]-Inventory[[#This Row],[ Quantity Used]])</f>
        <v/>
      </c>
    </row>
    <row r="153" spans="1:5" x14ac:dyDescent="0.3">
      <c r="A153" s="8"/>
      <c r="B153" s="8"/>
      <c r="C153" s="18" t="str">
        <f>IF(A153="","",
    SUMIFS(SupplierX!D$6:D$452, SupplierX!C$6:C$452, A153, SupplierX!B$6:B$452, "Item Received")
    + SUMIFS(SupplierY!D$6:D$452, SupplierY!C$6:C$452, A153, SupplierY!B$6:B$452, "Item Received")
)</f>
        <v/>
      </c>
      <c r="D153" s="8"/>
      <c r="E153" s="13" t="str">
        <f>IF(Inventory[[#This Row],[Item]]="","",Inventory[[#This Row],[ Opening Stock]]+Inventory[[#This Row],[ Quantity Received]]-Inventory[[#This Row],[ Quantity Used]])</f>
        <v/>
      </c>
    </row>
    <row r="154" spans="1:5" x14ac:dyDescent="0.3">
      <c r="A154" s="8"/>
      <c r="B154" s="8"/>
      <c r="C154" s="18" t="str">
        <f>IF(A154="","",
    SUMIFS(SupplierX!D$6:D$452, SupplierX!C$6:C$452, A154, SupplierX!B$6:B$452, "Item Received")
    + SUMIFS(SupplierY!D$6:D$452, SupplierY!C$6:C$452, A154, SupplierY!B$6:B$452, "Item Received")
)</f>
        <v/>
      </c>
      <c r="D154" s="8"/>
      <c r="E154" s="13" t="str">
        <f>IF(Inventory[[#This Row],[Item]]="","",Inventory[[#This Row],[ Opening Stock]]+Inventory[[#This Row],[ Quantity Received]]-Inventory[[#This Row],[ Quantity Used]])</f>
        <v/>
      </c>
    </row>
    <row r="155" spans="1:5" x14ac:dyDescent="0.3">
      <c r="A155" s="8"/>
      <c r="B155" s="8"/>
      <c r="C155" s="18" t="str">
        <f>IF(A155="","",
    SUMIFS(SupplierX!D$6:D$452, SupplierX!C$6:C$452, A155, SupplierX!B$6:B$452, "Item Received")
    + SUMIFS(SupplierY!D$6:D$452, SupplierY!C$6:C$452, A155, SupplierY!B$6:B$452, "Item Received")
)</f>
        <v/>
      </c>
      <c r="D155" s="8"/>
      <c r="E155" s="13" t="str">
        <f>IF(Inventory[[#This Row],[Item]]="","",Inventory[[#This Row],[ Opening Stock]]+Inventory[[#This Row],[ Quantity Received]]-Inventory[[#This Row],[ Quantity Used]])</f>
        <v/>
      </c>
    </row>
    <row r="156" spans="1:5" x14ac:dyDescent="0.3">
      <c r="A156" s="8"/>
      <c r="B156" s="8"/>
      <c r="C156" s="18" t="str">
        <f>IF(A156="","",
    SUMIFS(SupplierX!D$6:D$452, SupplierX!C$6:C$452, A156, SupplierX!B$6:B$452, "Item Received")
    + SUMIFS(SupplierY!D$6:D$452, SupplierY!C$6:C$452, A156, SupplierY!B$6:B$452, "Item Received")
)</f>
        <v/>
      </c>
      <c r="D156" s="8"/>
      <c r="E156" s="13" t="str">
        <f>IF(Inventory[[#This Row],[Item]]="","",Inventory[[#This Row],[ Opening Stock]]+Inventory[[#This Row],[ Quantity Received]]-Inventory[[#This Row],[ Quantity Used]])</f>
        <v/>
      </c>
    </row>
    <row r="157" spans="1:5" x14ac:dyDescent="0.3">
      <c r="A157" s="8"/>
      <c r="B157" s="8"/>
      <c r="C157" s="18" t="str">
        <f>IF(A157="","",
    SUMIFS(SupplierX!D$6:D$452, SupplierX!C$6:C$452, A157, SupplierX!B$6:B$452, "Item Received")
    + SUMIFS(SupplierY!D$6:D$452, SupplierY!C$6:C$452, A157, SupplierY!B$6:B$452, "Item Received")
)</f>
        <v/>
      </c>
      <c r="D157" s="8"/>
      <c r="E157" s="13" t="str">
        <f>IF(Inventory[[#This Row],[Item]]="","",Inventory[[#This Row],[ Opening Stock]]+Inventory[[#This Row],[ Quantity Received]]-Inventory[[#This Row],[ Quantity Used]])</f>
        <v/>
      </c>
    </row>
    <row r="158" spans="1:5" x14ac:dyDescent="0.3">
      <c r="A158" s="8"/>
      <c r="B158" s="8"/>
      <c r="C158" s="18" t="str">
        <f>IF(A158="","",
    SUMIFS(SupplierX!D$6:D$452, SupplierX!C$6:C$452, A158, SupplierX!B$6:B$452, "Item Received")
    + SUMIFS(SupplierY!D$6:D$452, SupplierY!C$6:C$452, A158, SupplierY!B$6:B$452, "Item Received")
)</f>
        <v/>
      </c>
      <c r="D158" s="8"/>
      <c r="E158" s="13" t="str">
        <f>IF(Inventory[[#This Row],[Item]]="","",Inventory[[#This Row],[ Opening Stock]]+Inventory[[#This Row],[ Quantity Received]]-Inventory[[#This Row],[ Quantity Used]])</f>
        <v/>
      </c>
    </row>
    <row r="159" spans="1:5" x14ac:dyDescent="0.3">
      <c r="A159" s="8"/>
      <c r="B159" s="8"/>
      <c r="C159" s="18" t="str">
        <f>IF(A159="","",
    SUMIFS(SupplierX!D$6:D$452, SupplierX!C$6:C$452, A159, SupplierX!B$6:B$452, "Item Received")
    + SUMIFS(SupplierY!D$6:D$452, SupplierY!C$6:C$452, A159, SupplierY!B$6:B$452, "Item Received")
)</f>
        <v/>
      </c>
      <c r="D159" s="8"/>
      <c r="E159" s="13" t="str">
        <f>IF(Inventory[[#This Row],[Item]]="","",Inventory[[#This Row],[ Opening Stock]]+Inventory[[#This Row],[ Quantity Received]]-Inventory[[#This Row],[ Quantity Used]])</f>
        <v/>
      </c>
    </row>
    <row r="160" spans="1:5" x14ac:dyDescent="0.3">
      <c r="A160" s="8"/>
      <c r="B160" s="8"/>
      <c r="C160" s="18" t="str">
        <f>IF(A160="","",
    SUMIFS(SupplierX!D$6:D$452, SupplierX!C$6:C$452, A160, SupplierX!B$6:B$452, "Item Received")
    + SUMIFS(SupplierY!D$6:D$452, SupplierY!C$6:C$452, A160, SupplierY!B$6:B$452, "Item Received")
)</f>
        <v/>
      </c>
      <c r="D160" s="8"/>
      <c r="E160" s="13" t="str">
        <f>IF(Inventory[[#This Row],[Item]]="","",Inventory[[#This Row],[ Opening Stock]]+Inventory[[#This Row],[ Quantity Received]]-Inventory[[#This Row],[ Quantity Used]])</f>
        <v/>
      </c>
    </row>
    <row r="161" spans="1:5" x14ac:dyDescent="0.3">
      <c r="A161" s="8"/>
      <c r="B161" s="8"/>
      <c r="C161" s="18" t="str">
        <f>IF(A161="","",
    SUMIFS(SupplierX!D$6:D$452, SupplierX!C$6:C$452, A161, SupplierX!B$6:B$452, "Item Received")
    + SUMIFS(SupplierY!D$6:D$452, SupplierY!C$6:C$452, A161, SupplierY!B$6:B$452, "Item Received")
)</f>
        <v/>
      </c>
      <c r="D161" s="8"/>
      <c r="E161" s="13" t="str">
        <f>IF(Inventory[[#This Row],[Item]]="","",Inventory[[#This Row],[ Opening Stock]]+Inventory[[#This Row],[ Quantity Received]]-Inventory[[#This Row],[ Quantity Used]])</f>
        <v/>
      </c>
    </row>
    <row r="162" spans="1:5" x14ac:dyDescent="0.3">
      <c r="A162" s="8"/>
      <c r="B162" s="8"/>
      <c r="C162" s="18" t="str">
        <f>IF(A162="","",
    SUMIFS(SupplierX!D$6:D$452, SupplierX!C$6:C$452, A162, SupplierX!B$6:B$452, "Item Received")
    + SUMIFS(SupplierY!D$6:D$452, SupplierY!C$6:C$452, A162, SupplierY!B$6:B$452, "Item Received")
)</f>
        <v/>
      </c>
      <c r="D162" s="8"/>
      <c r="E162" s="13" t="str">
        <f>IF(Inventory[[#This Row],[Item]]="","",Inventory[[#This Row],[ Opening Stock]]+Inventory[[#This Row],[ Quantity Received]]-Inventory[[#This Row],[ Quantity Used]])</f>
        <v/>
      </c>
    </row>
    <row r="163" spans="1:5" x14ac:dyDescent="0.3">
      <c r="A163" s="8"/>
      <c r="B163" s="8"/>
      <c r="C163" s="18" t="str">
        <f>IF(A163="","",
    SUMIFS(SupplierX!D$6:D$452, SupplierX!C$6:C$452, A163, SupplierX!B$6:B$452, "Item Received")
    + SUMIFS(SupplierY!D$6:D$452, SupplierY!C$6:C$452, A163, SupplierY!B$6:B$452, "Item Received")
)</f>
        <v/>
      </c>
      <c r="D163" s="8"/>
      <c r="E163" s="13" t="str">
        <f>IF(Inventory[[#This Row],[Item]]="","",Inventory[[#This Row],[ Opening Stock]]+Inventory[[#This Row],[ Quantity Received]]-Inventory[[#This Row],[ Quantity Used]])</f>
        <v/>
      </c>
    </row>
    <row r="164" spans="1:5" x14ac:dyDescent="0.3">
      <c r="A164" s="8"/>
      <c r="B164" s="8"/>
      <c r="C164" s="18" t="str">
        <f>IF(A164="","",
    SUMIFS(SupplierX!D$6:D$452, SupplierX!C$6:C$452, A164, SupplierX!B$6:B$452, "Item Received")
    + SUMIFS(SupplierY!D$6:D$452, SupplierY!C$6:C$452, A164, SupplierY!B$6:B$452, "Item Received")
)</f>
        <v/>
      </c>
      <c r="D164" s="8"/>
      <c r="E164" s="13" t="str">
        <f>IF(Inventory[[#This Row],[Item]]="","",Inventory[[#This Row],[ Opening Stock]]+Inventory[[#This Row],[ Quantity Received]]-Inventory[[#This Row],[ Quantity Used]])</f>
        <v/>
      </c>
    </row>
    <row r="165" spans="1:5" x14ac:dyDescent="0.3">
      <c r="A165" s="8"/>
      <c r="B165" s="8"/>
      <c r="C165" s="18" t="str">
        <f>IF(A165="","",
    SUMIFS(SupplierX!D$6:D$452, SupplierX!C$6:C$452, A165, SupplierX!B$6:B$452, "Item Received")
    + SUMIFS(SupplierY!D$6:D$452, SupplierY!C$6:C$452, A165, SupplierY!B$6:B$452, "Item Received")
)</f>
        <v/>
      </c>
      <c r="D165" s="8"/>
      <c r="E165" s="13" t="str">
        <f>IF(Inventory[[#This Row],[Item]]="","",Inventory[[#This Row],[ Opening Stock]]+Inventory[[#This Row],[ Quantity Received]]-Inventory[[#This Row],[ Quantity Used]])</f>
        <v/>
      </c>
    </row>
    <row r="166" spans="1:5" x14ac:dyDescent="0.3">
      <c r="A166" s="8"/>
      <c r="B166" s="8"/>
      <c r="C166" s="18" t="str">
        <f>IF(A166="","",
    SUMIFS(SupplierX!D$6:D$452, SupplierX!C$6:C$452, A166, SupplierX!B$6:B$452, "Item Received")
    + SUMIFS(SupplierY!D$6:D$452, SupplierY!C$6:C$452, A166, SupplierY!B$6:B$452, "Item Received")
)</f>
        <v/>
      </c>
      <c r="D166" s="8"/>
      <c r="E166" s="13" t="str">
        <f>IF(Inventory[[#This Row],[Item]]="","",Inventory[[#This Row],[ Opening Stock]]+Inventory[[#This Row],[ Quantity Received]]-Inventory[[#This Row],[ Quantity Used]])</f>
        <v/>
      </c>
    </row>
    <row r="167" spans="1:5" x14ac:dyDescent="0.3">
      <c r="A167" s="8"/>
      <c r="B167" s="8"/>
      <c r="C167" s="18" t="str">
        <f>IF(A167="","",
    SUMIFS(SupplierX!D$6:D$452, SupplierX!C$6:C$452, A167, SupplierX!B$6:B$452, "Item Received")
    + SUMIFS(SupplierY!D$6:D$452, SupplierY!C$6:C$452, A167, SupplierY!B$6:B$452, "Item Received")
)</f>
        <v/>
      </c>
      <c r="D167" s="8"/>
      <c r="E167" s="13" t="str">
        <f>IF(Inventory[[#This Row],[Item]]="","",Inventory[[#This Row],[ Opening Stock]]+Inventory[[#This Row],[ Quantity Received]]-Inventory[[#This Row],[ Quantity Used]])</f>
        <v/>
      </c>
    </row>
    <row r="168" spans="1:5" x14ac:dyDescent="0.3">
      <c r="A168" s="8"/>
      <c r="B168" s="8"/>
      <c r="C168" s="18" t="str">
        <f>IF(A168="","",
    SUMIFS(SupplierX!D$6:D$452, SupplierX!C$6:C$452, A168, SupplierX!B$6:B$452, "Item Received")
    + SUMIFS(SupplierY!D$6:D$452, SupplierY!C$6:C$452, A168, SupplierY!B$6:B$452, "Item Received")
)</f>
        <v/>
      </c>
      <c r="D168" s="8"/>
      <c r="E168" s="13" t="str">
        <f>IF(Inventory[[#This Row],[Item]]="","",Inventory[[#This Row],[ Opening Stock]]+Inventory[[#This Row],[ Quantity Received]]-Inventory[[#This Row],[ Quantity Used]])</f>
        <v/>
      </c>
    </row>
    <row r="169" spans="1:5" x14ac:dyDescent="0.3">
      <c r="A169" s="8"/>
      <c r="B169" s="8"/>
      <c r="C169" s="18" t="str">
        <f>IF(A169="","",
    SUMIFS(SupplierX!D$6:D$452, SupplierX!C$6:C$452, A169, SupplierX!B$6:B$452, "Item Received")
    + SUMIFS(SupplierY!D$6:D$452, SupplierY!C$6:C$452, A169, SupplierY!B$6:B$452, "Item Received")
)</f>
        <v/>
      </c>
      <c r="D169" s="8"/>
      <c r="E169" s="13" t="str">
        <f>IF(Inventory[[#This Row],[Item]]="","",Inventory[[#This Row],[ Opening Stock]]+Inventory[[#This Row],[ Quantity Received]]-Inventory[[#This Row],[ Quantity Used]])</f>
        <v/>
      </c>
    </row>
    <row r="170" spans="1:5" x14ac:dyDescent="0.3">
      <c r="A170" s="8"/>
      <c r="B170" s="8"/>
      <c r="C170" s="18" t="str">
        <f>IF(A170="","",
    SUMIFS(SupplierX!D$6:D$452, SupplierX!C$6:C$452, A170, SupplierX!B$6:B$452, "Item Received")
    + SUMIFS(SupplierY!D$6:D$452, SupplierY!C$6:C$452, A170, SupplierY!B$6:B$452, "Item Received")
)</f>
        <v/>
      </c>
      <c r="D170" s="8"/>
      <c r="E170" s="13" t="str">
        <f>IF(Inventory[[#This Row],[Item]]="","",Inventory[[#This Row],[ Opening Stock]]+Inventory[[#This Row],[ Quantity Received]]-Inventory[[#This Row],[ Quantity Used]])</f>
        <v/>
      </c>
    </row>
    <row r="171" spans="1:5" x14ac:dyDescent="0.3">
      <c r="A171" s="8"/>
      <c r="B171" s="8"/>
      <c r="C171" s="18" t="str">
        <f>IF(A171="","",
    SUMIFS(SupplierX!D$6:D$452, SupplierX!C$6:C$452, A171, SupplierX!B$6:B$452, "Item Received")
    + SUMIFS(SupplierY!D$6:D$452, SupplierY!C$6:C$452, A171, SupplierY!B$6:B$452, "Item Received")
)</f>
        <v/>
      </c>
      <c r="D171" s="8"/>
      <c r="E171" s="13" t="str">
        <f>IF(Inventory[[#This Row],[Item]]="","",Inventory[[#This Row],[ Opening Stock]]+Inventory[[#This Row],[ Quantity Received]]-Inventory[[#This Row],[ Quantity Used]])</f>
        <v/>
      </c>
    </row>
    <row r="172" spans="1:5" x14ac:dyDescent="0.3">
      <c r="A172" s="8"/>
      <c r="B172" s="8"/>
      <c r="C172" s="18" t="str">
        <f>IF(A172="","",
    SUMIFS(SupplierX!D$6:D$452, SupplierX!C$6:C$452, A172, SupplierX!B$6:B$452, "Item Received")
    + SUMIFS(SupplierY!D$6:D$452, SupplierY!C$6:C$452, A172, SupplierY!B$6:B$452, "Item Received")
)</f>
        <v/>
      </c>
      <c r="D172" s="8"/>
      <c r="E172" s="13" t="str">
        <f>IF(Inventory[[#This Row],[Item]]="","",Inventory[[#This Row],[ Opening Stock]]+Inventory[[#This Row],[ Quantity Received]]-Inventory[[#This Row],[ Quantity Used]])</f>
        <v/>
      </c>
    </row>
    <row r="173" spans="1:5" x14ac:dyDescent="0.3">
      <c r="A173" s="8"/>
      <c r="B173" s="8"/>
      <c r="C173" s="18" t="str">
        <f>IF(A173="","",
    SUMIFS(SupplierX!D$6:D$452, SupplierX!C$6:C$452, A173, SupplierX!B$6:B$452, "Item Received")
    + SUMIFS(SupplierY!D$6:D$452, SupplierY!C$6:C$452, A173, SupplierY!B$6:B$452, "Item Received")
)</f>
        <v/>
      </c>
      <c r="D173" s="8"/>
      <c r="E173" s="13" t="str">
        <f>IF(Inventory[[#This Row],[Item]]="","",Inventory[[#This Row],[ Opening Stock]]+Inventory[[#This Row],[ Quantity Received]]-Inventory[[#This Row],[ Quantity Used]])</f>
        <v/>
      </c>
    </row>
    <row r="174" spans="1:5" x14ac:dyDescent="0.3">
      <c r="A174" s="8"/>
      <c r="B174" s="8"/>
      <c r="C174" s="18" t="str">
        <f>IF(A174="","",
    SUMIFS(SupplierX!D$6:D$452, SupplierX!C$6:C$452, A174, SupplierX!B$6:B$452, "Item Received")
    + SUMIFS(SupplierY!D$6:D$452, SupplierY!C$6:C$452, A174, SupplierY!B$6:B$452, "Item Received")
)</f>
        <v/>
      </c>
      <c r="D174" s="8"/>
      <c r="E174" s="13" t="str">
        <f>IF(Inventory[[#This Row],[Item]]="","",Inventory[[#This Row],[ Opening Stock]]+Inventory[[#This Row],[ Quantity Received]]-Inventory[[#This Row],[ Quantity Used]])</f>
        <v/>
      </c>
    </row>
    <row r="175" spans="1:5" x14ac:dyDescent="0.3">
      <c r="A175" s="8"/>
      <c r="B175" s="8"/>
      <c r="C175" s="18" t="str">
        <f>IF(A175="","",
    SUMIFS(SupplierX!D$6:D$452, SupplierX!C$6:C$452, A175, SupplierX!B$6:B$452, "Item Received")
    + SUMIFS(SupplierY!D$6:D$452, SupplierY!C$6:C$452, A175, SupplierY!B$6:B$452, "Item Received")
)</f>
        <v/>
      </c>
      <c r="D175" s="8"/>
      <c r="E175" s="13" t="str">
        <f>IF(Inventory[[#This Row],[Item]]="","",Inventory[[#This Row],[ Opening Stock]]+Inventory[[#This Row],[ Quantity Received]]-Inventory[[#This Row],[ Quantity Used]])</f>
        <v/>
      </c>
    </row>
    <row r="176" spans="1:5" x14ac:dyDescent="0.3">
      <c r="A176" s="8"/>
      <c r="B176" s="8"/>
      <c r="C176" s="18" t="str">
        <f>IF(A176="","",
    SUMIFS(SupplierX!D$6:D$452, SupplierX!C$6:C$452, A176, SupplierX!B$6:B$452, "Item Received")
    + SUMIFS(SupplierY!D$6:D$452, SupplierY!C$6:C$452, A176, SupplierY!B$6:B$452, "Item Received")
)</f>
        <v/>
      </c>
      <c r="D176" s="8"/>
      <c r="E176" s="13" t="str">
        <f>IF(Inventory[[#This Row],[Item]]="","",Inventory[[#This Row],[ Opening Stock]]+Inventory[[#This Row],[ Quantity Received]]-Inventory[[#This Row],[ Quantity Used]])</f>
        <v/>
      </c>
    </row>
    <row r="177" spans="1:5" x14ac:dyDescent="0.3">
      <c r="A177" s="8"/>
      <c r="B177" s="8"/>
      <c r="C177" s="18" t="str">
        <f>IF(A177="","",
    SUMIFS(SupplierX!D$6:D$452, SupplierX!C$6:C$452, A177, SupplierX!B$6:B$452, "Item Received")
    + SUMIFS(SupplierY!D$6:D$452, SupplierY!C$6:C$452, A177, SupplierY!B$6:B$452, "Item Received")
)</f>
        <v/>
      </c>
      <c r="D177" s="8"/>
      <c r="E177" s="13" t="str">
        <f>IF(Inventory[[#This Row],[Item]]="","",Inventory[[#This Row],[ Opening Stock]]+Inventory[[#This Row],[ Quantity Received]]-Inventory[[#This Row],[ Quantity Used]])</f>
        <v/>
      </c>
    </row>
    <row r="178" spans="1:5" x14ac:dyDescent="0.3">
      <c r="A178" s="8"/>
      <c r="B178" s="8"/>
      <c r="C178" s="18" t="str">
        <f>IF(A178="","",
    SUMIFS(SupplierX!D$6:D$452, SupplierX!C$6:C$452, A178, SupplierX!B$6:B$452, "Item Received")
    + SUMIFS(SupplierY!D$6:D$452, SupplierY!C$6:C$452, A178, SupplierY!B$6:B$452, "Item Received")
)</f>
        <v/>
      </c>
      <c r="D178" s="8"/>
      <c r="E178" s="13" t="str">
        <f>IF(Inventory[[#This Row],[Item]]="","",Inventory[[#This Row],[ Opening Stock]]+Inventory[[#This Row],[ Quantity Received]]-Inventory[[#This Row],[ Quantity Used]])</f>
        <v/>
      </c>
    </row>
    <row r="179" spans="1:5" x14ac:dyDescent="0.3">
      <c r="A179" s="8"/>
      <c r="B179" s="8"/>
      <c r="C179" s="18" t="str">
        <f>IF(A179="","",
    SUMIFS(SupplierX!D$6:D$452, SupplierX!C$6:C$452, A179, SupplierX!B$6:B$452, "Item Received")
    + SUMIFS(SupplierY!D$6:D$452, SupplierY!C$6:C$452, A179, SupplierY!B$6:B$452, "Item Received")
)</f>
        <v/>
      </c>
      <c r="D179" s="8"/>
      <c r="E179" s="13" t="str">
        <f>IF(Inventory[[#This Row],[Item]]="","",Inventory[[#This Row],[ Opening Stock]]+Inventory[[#This Row],[ Quantity Received]]-Inventory[[#This Row],[ Quantity Used]])</f>
        <v/>
      </c>
    </row>
    <row r="180" spans="1:5" x14ac:dyDescent="0.3">
      <c r="A180" s="8"/>
      <c r="B180" s="8"/>
      <c r="C180" s="18" t="str">
        <f>IF(A180="","",
    SUMIFS(SupplierX!D$6:D$452, SupplierX!C$6:C$452, A180, SupplierX!B$6:B$452, "Item Received")
    + SUMIFS(SupplierY!D$6:D$452, SupplierY!C$6:C$452, A180, SupplierY!B$6:B$452, "Item Received")
)</f>
        <v/>
      </c>
      <c r="D180" s="8"/>
      <c r="E180" s="13" t="str">
        <f>IF(Inventory[[#This Row],[Item]]="","",Inventory[[#This Row],[ Opening Stock]]+Inventory[[#This Row],[ Quantity Received]]-Inventory[[#This Row],[ Quantity Used]])</f>
        <v/>
      </c>
    </row>
    <row r="181" spans="1:5" x14ac:dyDescent="0.3">
      <c r="A181" s="8"/>
      <c r="B181" s="8"/>
      <c r="C181" s="18" t="str">
        <f>IF(A181="","",
    SUMIFS(SupplierX!D$6:D$452, SupplierX!C$6:C$452, A181, SupplierX!B$6:B$452, "Item Received")
    + SUMIFS(SupplierY!D$6:D$452, SupplierY!C$6:C$452, A181, SupplierY!B$6:B$452, "Item Received")
)</f>
        <v/>
      </c>
      <c r="D181" s="8"/>
      <c r="E181" s="13" t="str">
        <f>IF(Inventory[[#This Row],[Item]]="","",Inventory[[#This Row],[ Opening Stock]]+Inventory[[#This Row],[ Quantity Received]]-Inventory[[#This Row],[ Quantity Used]])</f>
        <v/>
      </c>
    </row>
    <row r="182" spans="1:5" x14ac:dyDescent="0.3">
      <c r="A182" s="8"/>
      <c r="B182" s="8"/>
      <c r="C182" s="18" t="str">
        <f>IF(A182="","",
    SUMIFS(SupplierX!D$6:D$452, SupplierX!C$6:C$452, A182, SupplierX!B$6:B$452, "Item Received")
    + SUMIFS(SupplierY!D$6:D$452, SupplierY!C$6:C$452, A182, SupplierY!B$6:B$452, "Item Received")
)</f>
        <v/>
      </c>
      <c r="D182" s="8"/>
      <c r="E182" s="13" t="str">
        <f>IF(Inventory[[#This Row],[Item]]="","",Inventory[[#This Row],[ Opening Stock]]+Inventory[[#This Row],[ Quantity Received]]-Inventory[[#This Row],[ Quantity Used]])</f>
        <v/>
      </c>
    </row>
    <row r="183" spans="1:5" x14ac:dyDescent="0.3">
      <c r="A183" s="8"/>
      <c r="B183" s="8"/>
      <c r="C183" s="18" t="str">
        <f>IF(A183="","",
    SUMIFS(SupplierX!D$6:D$452, SupplierX!C$6:C$452, A183, SupplierX!B$6:B$452, "Item Received")
    + SUMIFS(SupplierY!D$6:D$452, SupplierY!C$6:C$452, A183, SupplierY!B$6:B$452, "Item Received")
)</f>
        <v/>
      </c>
      <c r="D183" s="8"/>
      <c r="E183" s="13" t="str">
        <f>IF(Inventory[[#This Row],[Item]]="","",Inventory[[#This Row],[ Opening Stock]]+Inventory[[#This Row],[ Quantity Received]]-Inventory[[#This Row],[ Quantity Used]])</f>
        <v/>
      </c>
    </row>
    <row r="184" spans="1:5" x14ac:dyDescent="0.3">
      <c r="A184" s="8"/>
      <c r="B184" s="8"/>
      <c r="C184" s="18" t="str">
        <f>IF(A184="","",
    SUMIFS(SupplierX!D$6:D$452, SupplierX!C$6:C$452, A184, SupplierX!B$6:B$452, "Item Received")
    + SUMIFS(SupplierY!D$6:D$452, SupplierY!C$6:C$452, A184, SupplierY!B$6:B$452, "Item Received")
)</f>
        <v/>
      </c>
      <c r="D184" s="8"/>
      <c r="E184" s="13" t="str">
        <f>IF(Inventory[[#This Row],[Item]]="","",Inventory[[#This Row],[ Opening Stock]]+Inventory[[#This Row],[ Quantity Received]]-Inventory[[#This Row],[ Quantity Used]])</f>
        <v/>
      </c>
    </row>
    <row r="185" spans="1:5" x14ac:dyDescent="0.3">
      <c r="A185" s="8"/>
      <c r="B185" s="8"/>
      <c r="C185" s="18" t="str">
        <f>IF(A185="","",
    SUMIFS(SupplierX!D$6:D$452, SupplierX!C$6:C$452, A185, SupplierX!B$6:B$452, "Item Received")
    + SUMIFS(SupplierY!D$6:D$452, SupplierY!C$6:C$452, A185, SupplierY!B$6:B$452, "Item Received")
)</f>
        <v/>
      </c>
      <c r="D185" s="8"/>
      <c r="E185" s="13" t="str">
        <f>IF(Inventory[[#This Row],[Item]]="","",Inventory[[#This Row],[ Opening Stock]]+Inventory[[#This Row],[ Quantity Received]]-Inventory[[#This Row],[ Quantity Used]])</f>
        <v/>
      </c>
    </row>
    <row r="186" spans="1:5" x14ac:dyDescent="0.3">
      <c r="A186" s="8"/>
      <c r="B186" s="8"/>
      <c r="C186" s="18" t="str">
        <f>IF(A186="","",
    SUMIFS(SupplierX!D$6:D$452, SupplierX!C$6:C$452, A186, SupplierX!B$6:B$452, "Item Received")
    + SUMIFS(SupplierY!D$6:D$452, SupplierY!C$6:C$452, A186, SupplierY!B$6:B$452, "Item Received")
)</f>
        <v/>
      </c>
      <c r="D186" s="8"/>
      <c r="E186" s="13" t="str">
        <f>IF(Inventory[[#This Row],[Item]]="","",Inventory[[#This Row],[ Opening Stock]]+Inventory[[#This Row],[ Quantity Received]]-Inventory[[#This Row],[ Quantity Used]])</f>
        <v/>
      </c>
    </row>
    <row r="187" spans="1:5" x14ac:dyDescent="0.3">
      <c r="A187" s="8"/>
      <c r="B187" s="8"/>
      <c r="C187" s="18" t="str">
        <f>IF(A187="","",
    SUMIFS(SupplierX!D$6:D$452, SupplierX!C$6:C$452, A187, SupplierX!B$6:B$452, "Item Received")
    + SUMIFS(SupplierY!D$6:D$452, SupplierY!C$6:C$452, A187, SupplierY!B$6:B$452, "Item Received")
)</f>
        <v/>
      </c>
      <c r="D187" s="8"/>
      <c r="E187" s="13" t="str">
        <f>IF(Inventory[[#This Row],[Item]]="","",Inventory[[#This Row],[ Opening Stock]]+Inventory[[#This Row],[ Quantity Received]]-Inventory[[#This Row],[ Quantity Used]])</f>
        <v/>
      </c>
    </row>
    <row r="188" spans="1:5" x14ac:dyDescent="0.3">
      <c r="A188" s="8"/>
      <c r="B188" s="8"/>
      <c r="C188" s="18" t="str">
        <f>IF(A188="","",
    SUMIFS(SupplierX!D$6:D$452, SupplierX!C$6:C$452, A188, SupplierX!B$6:B$452, "Item Received")
    + SUMIFS(SupplierY!D$6:D$452, SupplierY!C$6:C$452, A188, SupplierY!B$6:B$452, "Item Received")
)</f>
        <v/>
      </c>
      <c r="D188" s="8"/>
      <c r="E188" s="13" t="str">
        <f>IF(Inventory[[#This Row],[Item]]="","",Inventory[[#This Row],[ Opening Stock]]+Inventory[[#This Row],[ Quantity Received]]-Inventory[[#This Row],[ Quantity Used]])</f>
        <v/>
      </c>
    </row>
    <row r="189" spans="1:5" x14ac:dyDescent="0.3">
      <c r="A189" s="8"/>
      <c r="B189" s="8"/>
      <c r="C189" s="18" t="str">
        <f>IF(A189="","",
    SUMIFS(SupplierX!D$6:D$452, SupplierX!C$6:C$452, A189, SupplierX!B$6:B$452, "Item Received")
    + SUMIFS(SupplierY!D$6:D$452, SupplierY!C$6:C$452, A189, SupplierY!B$6:B$452, "Item Received")
)</f>
        <v/>
      </c>
      <c r="D189" s="8"/>
      <c r="E189" s="13" t="str">
        <f>IF(Inventory[[#This Row],[Item]]="","",Inventory[[#This Row],[ Opening Stock]]+Inventory[[#This Row],[ Quantity Received]]-Inventory[[#This Row],[ Quantity Used]])</f>
        <v/>
      </c>
    </row>
    <row r="190" spans="1:5" x14ac:dyDescent="0.3">
      <c r="A190" s="8"/>
      <c r="B190" s="8"/>
      <c r="C190" s="18" t="str">
        <f>IF(A190="","",
    SUMIFS(SupplierX!D$6:D$452, SupplierX!C$6:C$452, A190, SupplierX!B$6:B$452, "Item Received")
    + SUMIFS(SupplierY!D$6:D$452, SupplierY!C$6:C$452, A190, SupplierY!B$6:B$452, "Item Received")
)</f>
        <v/>
      </c>
      <c r="D190" s="8"/>
      <c r="E190" s="13" t="str">
        <f>IF(Inventory[[#This Row],[Item]]="","",Inventory[[#This Row],[ Opening Stock]]+Inventory[[#This Row],[ Quantity Received]]-Inventory[[#This Row],[ Quantity Used]])</f>
        <v/>
      </c>
    </row>
    <row r="191" spans="1:5" x14ac:dyDescent="0.3">
      <c r="A191" s="8"/>
      <c r="B191" s="8"/>
      <c r="C191" s="18" t="str">
        <f>IF(A191="","",
    SUMIFS(SupplierX!D$6:D$452, SupplierX!C$6:C$452, A191, SupplierX!B$6:B$452, "Item Received")
    + SUMIFS(SupplierY!D$6:D$452, SupplierY!C$6:C$452, A191, SupplierY!B$6:B$452, "Item Received")
)</f>
        <v/>
      </c>
      <c r="D191" s="8"/>
      <c r="E191" s="13" t="str">
        <f>IF(Inventory[[#This Row],[Item]]="","",Inventory[[#This Row],[ Opening Stock]]+Inventory[[#This Row],[ Quantity Received]]-Inventory[[#This Row],[ Quantity Used]])</f>
        <v/>
      </c>
    </row>
    <row r="192" spans="1:5" x14ac:dyDescent="0.3">
      <c r="A192" s="8"/>
      <c r="B192" s="8"/>
      <c r="C192" s="18" t="str">
        <f>IF(A192="","",
    SUMIFS(SupplierX!D$6:D$452, SupplierX!C$6:C$452, A192, SupplierX!B$6:B$452, "Item Received")
    + SUMIFS(SupplierY!D$6:D$452, SupplierY!C$6:C$452, A192, SupplierY!B$6:B$452, "Item Received")
)</f>
        <v/>
      </c>
      <c r="D192" s="8"/>
      <c r="E192" s="13" t="str">
        <f>IF(Inventory[[#This Row],[Item]]="","",Inventory[[#This Row],[ Opening Stock]]+Inventory[[#This Row],[ Quantity Received]]-Inventory[[#This Row],[ Quantity Used]])</f>
        <v/>
      </c>
    </row>
    <row r="193" spans="1:5" x14ac:dyDescent="0.3">
      <c r="A193" s="8"/>
      <c r="B193" s="8"/>
      <c r="C193" s="18" t="str">
        <f>IF(A193="","",
    SUMIFS(SupplierX!D$6:D$452, SupplierX!C$6:C$452, A193, SupplierX!B$6:B$452, "Item Received")
    + SUMIFS(SupplierY!D$6:D$452, SupplierY!C$6:C$452, A193, SupplierY!B$6:B$452, "Item Received")
)</f>
        <v/>
      </c>
      <c r="D193" s="8"/>
      <c r="E193" s="13" t="str">
        <f>IF(Inventory[[#This Row],[Item]]="","",Inventory[[#This Row],[ Opening Stock]]+Inventory[[#This Row],[ Quantity Received]]-Inventory[[#This Row],[ Quantity Used]])</f>
        <v/>
      </c>
    </row>
    <row r="194" spans="1:5" x14ac:dyDescent="0.3">
      <c r="A194" s="8"/>
      <c r="B194" s="8"/>
      <c r="C194" s="18" t="str">
        <f>IF(A194="","",
    SUMIFS(SupplierX!D$6:D$452, SupplierX!C$6:C$452, A194, SupplierX!B$6:B$452, "Item Received")
    + SUMIFS(SupplierY!D$6:D$452, SupplierY!C$6:C$452, A194, SupplierY!B$6:B$452, "Item Received")
)</f>
        <v/>
      </c>
      <c r="D194" s="8"/>
      <c r="E194" s="13" t="str">
        <f>IF(Inventory[[#This Row],[Item]]="","",Inventory[[#This Row],[ Opening Stock]]+Inventory[[#This Row],[ Quantity Received]]-Inventory[[#This Row],[ Quantity Used]])</f>
        <v/>
      </c>
    </row>
    <row r="195" spans="1:5" x14ac:dyDescent="0.3">
      <c r="A195" s="8"/>
      <c r="B195" s="8"/>
      <c r="C195" s="18" t="str">
        <f>IF(A195="","",
    SUMIFS(SupplierX!D$6:D$452, SupplierX!C$6:C$452, A195, SupplierX!B$6:B$452, "Item Received")
    + SUMIFS(SupplierY!D$6:D$452, SupplierY!C$6:C$452, A195, SupplierY!B$6:B$452, "Item Received")
)</f>
        <v/>
      </c>
      <c r="D195" s="8"/>
      <c r="E195" s="13" t="str">
        <f>IF(Inventory[[#This Row],[Item]]="","",Inventory[[#This Row],[ Opening Stock]]+Inventory[[#This Row],[ Quantity Received]]-Inventory[[#This Row],[ Quantity Used]])</f>
        <v/>
      </c>
    </row>
    <row r="196" spans="1:5" x14ac:dyDescent="0.3">
      <c r="A196" s="8"/>
      <c r="B196" s="8"/>
      <c r="C196" s="18" t="str">
        <f>IF(A196="","",
    SUMIFS(SupplierX!D$6:D$452, SupplierX!C$6:C$452, A196, SupplierX!B$6:B$452, "Item Received")
    + SUMIFS(SupplierY!D$6:D$452, SupplierY!C$6:C$452, A196, SupplierY!B$6:B$452, "Item Received")
)</f>
        <v/>
      </c>
      <c r="D196" s="8"/>
      <c r="E196" s="13" t="str">
        <f>IF(Inventory[[#This Row],[Item]]="","",Inventory[[#This Row],[ Opening Stock]]+Inventory[[#This Row],[ Quantity Received]]-Inventory[[#This Row],[ Quantity Used]])</f>
        <v/>
      </c>
    </row>
    <row r="197" spans="1:5" x14ac:dyDescent="0.3">
      <c r="A197" s="8"/>
      <c r="B197" s="8"/>
      <c r="C197" s="18" t="str">
        <f>IF(A197="","",
    SUMIFS(SupplierX!D$6:D$452, SupplierX!C$6:C$452, A197, SupplierX!B$6:B$452, "Item Received")
    + SUMIFS(SupplierY!D$6:D$452, SupplierY!C$6:C$452, A197, SupplierY!B$6:B$452, "Item Received")
)</f>
        <v/>
      </c>
      <c r="D197" s="8"/>
      <c r="E197" s="13" t="str">
        <f>IF(Inventory[[#This Row],[Item]]="","",Inventory[[#This Row],[ Opening Stock]]+Inventory[[#This Row],[ Quantity Received]]-Inventory[[#This Row],[ Quantity Used]])</f>
        <v/>
      </c>
    </row>
    <row r="198" spans="1:5" x14ac:dyDescent="0.3">
      <c r="A198" s="8"/>
      <c r="B198" s="8"/>
      <c r="C198" s="18" t="str">
        <f>IF(A198="","",
    SUMIFS(SupplierX!D$6:D$452, SupplierX!C$6:C$452, A198, SupplierX!B$6:B$452, "Item Received")
    + SUMIFS(SupplierY!D$6:D$452, SupplierY!C$6:C$452, A198, SupplierY!B$6:B$452, "Item Received")
)</f>
        <v/>
      </c>
      <c r="D198" s="8"/>
      <c r="E198" s="13" t="str">
        <f>IF(Inventory[[#This Row],[Item]]="","",Inventory[[#This Row],[ Opening Stock]]+Inventory[[#This Row],[ Quantity Received]]-Inventory[[#This Row],[ Quantity Used]])</f>
        <v/>
      </c>
    </row>
    <row r="199" spans="1:5" x14ac:dyDescent="0.3">
      <c r="A199" s="8"/>
      <c r="B199" s="8"/>
      <c r="C199" s="18" t="str">
        <f>IF(A199="","",
    SUMIFS(SupplierX!D$6:D$452, SupplierX!C$6:C$452, A199, SupplierX!B$6:B$452, "Item Received")
    + SUMIFS(SupplierY!D$6:D$452, SupplierY!C$6:C$452, A199, SupplierY!B$6:B$452, "Item Received")
)</f>
        <v/>
      </c>
      <c r="D199" s="8"/>
      <c r="E199" s="13" t="str">
        <f>IF(Inventory[[#This Row],[Item]]="","",Inventory[[#This Row],[ Opening Stock]]+Inventory[[#This Row],[ Quantity Received]]-Inventory[[#This Row],[ Quantity Used]])</f>
        <v/>
      </c>
    </row>
    <row r="200" spans="1:5" x14ac:dyDescent="0.3">
      <c r="A200" s="8"/>
      <c r="B200" s="8"/>
      <c r="C200" s="18" t="str">
        <f>IF(A200="","",
    SUMIFS(SupplierX!D$6:D$452, SupplierX!C$6:C$452, A200, SupplierX!B$6:B$452, "Item Received")
    + SUMIFS(SupplierY!D$6:D$452, SupplierY!C$6:C$452, A200, SupplierY!B$6:B$452, "Item Received")
)</f>
        <v/>
      </c>
      <c r="D200" s="8"/>
      <c r="E200" s="13" t="str">
        <f>IF(Inventory[[#This Row],[Item]]="","",Inventory[[#This Row],[ Opening Stock]]+Inventory[[#This Row],[ Quantity Received]]-Inventory[[#This Row],[ Quantity Used]])</f>
        <v/>
      </c>
    </row>
    <row r="201" spans="1:5" x14ac:dyDescent="0.3">
      <c r="A201" s="8"/>
      <c r="B201" s="8"/>
      <c r="C201" s="18" t="str">
        <f>IF(A201="","",
    SUMIFS(SupplierX!D$6:D$452, SupplierX!C$6:C$452, A201, SupplierX!B$6:B$452, "Item Received")
    + SUMIFS(SupplierY!D$6:D$452, SupplierY!C$6:C$452, A201, SupplierY!B$6:B$452, "Item Received")
)</f>
        <v/>
      </c>
      <c r="D201" s="8"/>
      <c r="E201" s="13" t="str">
        <f>IF(Inventory[[#This Row],[Item]]="","",Inventory[[#This Row],[ Opening Stock]]+Inventory[[#This Row],[ Quantity Received]]-Inventory[[#This Row],[ Quantity Used]])</f>
        <v/>
      </c>
    </row>
    <row r="202" spans="1:5" x14ac:dyDescent="0.3">
      <c r="A202" s="8"/>
      <c r="B202" s="8"/>
      <c r="C202" s="18" t="str">
        <f>IF(A202="","",
    SUMIFS(SupplierX!D$6:D$452, SupplierX!C$6:C$452, A202, SupplierX!B$6:B$452, "Item Received")
    + SUMIFS(SupplierY!D$6:D$452, SupplierY!C$6:C$452, A202, SupplierY!B$6:B$452, "Item Received")
)</f>
        <v/>
      </c>
      <c r="D202" s="8"/>
      <c r="E202" s="13" t="str">
        <f>IF(Inventory[[#This Row],[Item]]="","",Inventory[[#This Row],[ Opening Stock]]+Inventory[[#This Row],[ Quantity Received]]-Inventory[[#This Row],[ Quantity Used]])</f>
        <v/>
      </c>
    </row>
    <row r="203" spans="1:5" x14ac:dyDescent="0.3">
      <c r="A203" s="8"/>
      <c r="B203" s="8"/>
      <c r="C203" s="18" t="str">
        <f>IF(A203="","",
    SUMIFS(SupplierX!D$6:D$452, SupplierX!C$6:C$452, A203, SupplierX!B$6:B$452, "Item Received")
    + SUMIFS(SupplierY!D$6:D$452, SupplierY!C$6:C$452, A203, SupplierY!B$6:B$452, "Item Received")
)</f>
        <v/>
      </c>
      <c r="D203" s="8"/>
      <c r="E203" s="13" t="str">
        <f>IF(Inventory[[#This Row],[Item]]="","",Inventory[[#This Row],[ Opening Stock]]+Inventory[[#This Row],[ Quantity Received]]-Inventory[[#This Row],[ Quantity Used]])</f>
        <v/>
      </c>
    </row>
    <row r="204" spans="1:5" x14ac:dyDescent="0.3">
      <c r="A204" s="8"/>
      <c r="B204" s="8"/>
      <c r="C204" s="18" t="str">
        <f>IF(A204="","",
    SUMIFS(SupplierX!D$6:D$452, SupplierX!C$6:C$452, A204, SupplierX!B$6:B$452, "Item Received")
    + SUMIFS(SupplierY!D$6:D$452, SupplierY!C$6:C$452, A204, SupplierY!B$6:B$452, "Item Received")
)</f>
        <v/>
      </c>
      <c r="D204" s="8"/>
      <c r="E204" s="13" t="str">
        <f>IF(Inventory[[#This Row],[Item]]="","",Inventory[[#This Row],[ Opening Stock]]+Inventory[[#This Row],[ Quantity Received]]-Inventory[[#This Row],[ Quantity Used]])</f>
        <v/>
      </c>
    </row>
    <row r="205" spans="1:5" x14ac:dyDescent="0.3">
      <c r="A205" s="8"/>
      <c r="B205" s="8"/>
      <c r="C205" s="18" t="str">
        <f>IF(A205="","",
    SUMIFS(SupplierX!D$6:D$452, SupplierX!C$6:C$452, A205, SupplierX!B$6:B$452, "Item Received")
    + SUMIFS(SupplierY!D$6:D$452, SupplierY!C$6:C$452, A205, SupplierY!B$6:B$452, "Item Received")
)</f>
        <v/>
      </c>
      <c r="D205" s="8"/>
      <c r="E205" s="13" t="str">
        <f>IF(Inventory[[#This Row],[Item]]="","",Inventory[[#This Row],[ Opening Stock]]+Inventory[[#This Row],[ Quantity Received]]-Inventory[[#This Row],[ Quantity Used]])</f>
        <v/>
      </c>
    </row>
    <row r="206" spans="1:5" x14ac:dyDescent="0.3">
      <c r="A206" s="8"/>
      <c r="B206" s="8"/>
      <c r="C206" s="18" t="str">
        <f>IF(A206="","",
    SUMIFS(SupplierX!D$6:D$452, SupplierX!C$6:C$452, A206, SupplierX!B$6:B$452, "Item Received")
    + SUMIFS(SupplierY!D$6:D$452, SupplierY!C$6:C$452, A206, SupplierY!B$6:B$452, "Item Received")
)</f>
        <v/>
      </c>
      <c r="D206" s="8"/>
      <c r="E206" s="13" t="str">
        <f>IF(Inventory[[#This Row],[Item]]="","",Inventory[[#This Row],[ Opening Stock]]+Inventory[[#This Row],[ Quantity Received]]-Inventory[[#This Row],[ Quantity Used]])</f>
        <v/>
      </c>
    </row>
    <row r="207" spans="1:5" x14ac:dyDescent="0.3">
      <c r="A207" s="8"/>
      <c r="B207" s="8"/>
      <c r="C207" s="18" t="str">
        <f>IF(A207="","",
    SUMIFS(SupplierX!D$6:D$452, SupplierX!C$6:C$452, A207, SupplierX!B$6:B$452, "Item Received")
    + SUMIFS(SupplierY!D$6:D$452, SupplierY!C$6:C$452, A207, SupplierY!B$6:B$452, "Item Received")
)</f>
        <v/>
      </c>
      <c r="D207" s="8"/>
      <c r="E207" s="13" t="str">
        <f>IF(Inventory[[#This Row],[Item]]="","",Inventory[[#This Row],[ Opening Stock]]+Inventory[[#This Row],[ Quantity Received]]-Inventory[[#This Row],[ Quantity Used]])</f>
        <v/>
      </c>
    </row>
    <row r="208" spans="1:5" x14ac:dyDescent="0.3">
      <c r="A208" s="8"/>
      <c r="B208" s="8"/>
      <c r="C208" s="18" t="str">
        <f>IF(A208="","",
    SUMIFS(SupplierX!D$6:D$452, SupplierX!C$6:C$452, A208, SupplierX!B$6:B$452, "Item Received")
    + SUMIFS(SupplierY!D$6:D$452, SupplierY!C$6:C$452, A208, SupplierY!B$6:B$452, "Item Received")
)</f>
        <v/>
      </c>
      <c r="D208" s="8"/>
      <c r="E208" s="13" t="str">
        <f>IF(Inventory[[#This Row],[Item]]="","",Inventory[[#This Row],[ Opening Stock]]+Inventory[[#This Row],[ Quantity Received]]-Inventory[[#This Row],[ Quantity Used]])</f>
        <v/>
      </c>
    </row>
    <row r="209" spans="1:5" x14ac:dyDescent="0.3">
      <c r="A209" s="8"/>
      <c r="B209" s="8"/>
      <c r="C209" s="18" t="str">
        <f>IF(A209="","",
    SUMIFS(SupplierX!D$6:D$452, SupplierX!C$6:C$452, A209, SupplierX!B$6:B$452, "Item Received")
    + SUMIFS(SupplierY!D$6:D$452, SupplierY!C$6:C$452, A209, SupplierY!B$6:B$452, "Item Received")
)</f>
        <v/>
      </c>
      <c r="D209" s="8"/>
      <c r="E209" s="13" t="str">
        <f>IF(Inventory[[#This Row],[Item]]="","",Inventory[[#This Row],[ Opening Stock]]+Inventory[[#This Row],[ Quantity Received]]-Inventory[[#This Row],[ Quantity Used]])</f>
        <v/>
      </c>
    </row>
    <row r="210" spans="1:5" x14ac:dyDescent="0.3">
      <c r="A210" s="8"/>
      <c r="B210" s="8"/>
      <c r="C210" s="18" t="str">
        <f>IF(A210="","",
    SUMIFS(SupplierX!D$6:D$452, SupplierX!C$6:C$452, A210, SupplierX!B$6:B$452, "Item Received")
    + SUMIFS(SupplierY!D$6:D$452, SupplierY!C$6:C$452, A210, SupplierY!B$6:B$452, "Item Received")
)</f>
        <v/>
      </c>
      <c r="D210" s="8"/>
      <c r="E210" s="13" t="str">
        <f>IF(Inventory[[#This Row],[Item]]="","",Inventory[[#This Row],[ Opening Stock]]+Inventory[[#This Row],[ Quantity Received]]-Inventory[[#This Row],[ Quantity Used]])</f>
        <v/>
      </c>
    </row>
    <row r="211" spans="1:5" x14ac:dyDescent="0.3">
      <c r="A211" s="8"/>
      <c r="B211" s="8"/>
      <c r="C211" s="18" t="str">
        <f>IF(A211="","",
    SUMIFS(SupplierX!D$6:D$452, SupplierX!C$6:C$452, A211, SupplierX!B$6:B$452, "Item Received")
    + SUMIFS(SupplierY!D$6:D$452, SupplierY!C$6:C$452, A211, SupplierY!B$6:B$452, "Item Received")
)</f>
        <v/>
      </c>
      <c r="D211" s="8"/>
      <c r="E211" s="13" t="str">
        <f>IF(Inventory[[#This Row],[Item]]="","",Inventory[[#This Row],[ Opening Stock]]+Inventory[[#This Row],[ Quantity Received]]-Inventory[[#This Row],[ Quantity Used]])</f>
        <v/>
      </c>
    </row>
    <row r="212" spans="1:5" x14ac:dyDescent="0.3">
      <c r="A212" s="8"/>
      <c r="B212" s="8"/>
      <c r="C212" s="18" t="str">
        <f>IF(A212="","",
    SUMIFS(SupplierX!D$6:D$452, SupplierX!C$6:C$452, A212, SupplierX!B$6:B$452, "Item Received")
    + SUMIFS(SupplierY!D$6:D$452, SupplierY!C$6:C$452, A212, SupplierY!B$6:B$452, "Item Received")
)</f>
        <v/>
      </c>
      <c r="D212" s="8"/>
      <c r="E212" s="13" t="str">
        <f>IF(Inventory[[#This Row],[Item]]="","",Inventory[[#This Row],[ Opening Stock]]+Inventory[[#This Row],[ Quantity Received]]-Inventory[[#This Row],[ Quantity Used]])</f>
        <v/>
      </c>
    </row>
    <row r="213" spans="1:5" x14ac:dyDescent="0.3">
      <c r="A213" s="8"/>
      <c r="B213" s="8"/>
      <c r="C213" s="18" t="str">
        <f>IF(A213="","",
    SUMIFS(SupplierX!D$6:D$452, SupplierX!C$6:C$452, A213, SupplierX!B$6:B$452, "Item Received")
    + SUMIFS(SupplierY!D$6:D$452, SupplierY!C$6:C$452, A213, SupplierY!B$6:B$452, "Item Received")
)</f>
        <v/>
      </c>
      <c r="D213" s="8"/>
      <c r="E213" s="13" t="str">
        <f>IF(Inventory[[#This Row],[Item]]="","",Inventory[[#This Row],[ Opening Stock]]+Inventory[[#This Row],[ Quantity Received]]-Inventory[[#This Row],[ Quantity Used]])</f>
        <v/>
      </c>
    </row>
    <row r="214" spans="1:5" x14ac:dyDescent="0.3">
      <c r="A214" s="8"/>
      <c r="B214" s="8"/>
      <c r="C214" s="18" t="str">
        <f>IF(A214="","",
    SUMIFS(SupplierX!D$6:D$452, SupplierX!C$6:C$452, A214, SupplierX!B$6:B$452, "Item Received")
    + SUMIFS(SupplierY!D$6:D$452, SupplierY!C$6:C$452, A214, SupplierY!B$6:B$452, "Item Received")
)</f>
        <v/>
      </c>
      <c r="D214" s="8"/>
      <c r="E214" s="13" t="str">
        <f>IF(Inventory[[#This Row],[Item]]="","",Inventory[[#This Row],[ Opening Stock]]+Inventory[[#This Row],[ Quantity Received]]-Inventory[[#This Row],[ Quantity Used]])</f>
        <v/>
      </c>
    </row>
    <row r="215" spans="1:5" x14ac:dyDescent="0.3">
      <c r="A215" s="8"/>
      <c r="B215" s="8"/>
      <c r="C215" s="18" t="str">
        <f>IF(A215="","",
    SUMIFS(SupplierX!D$6:D$452, SupplierX!C$6:C$452, A215, SupplierX!B$6:B$452, "Item Received")
    + SUMIFS(SupplierY!D$6:D$452, SupplierY!C$6:C$452, A215, SupplierY!B$6:B$452, "Item Received")
)</f>
        <v/>
      </c>
      <c r="D215" s="8"/>
      <c r="E215" s="13" t="str">
        <f>IF(Inventory[[#This Row],[Item]]="","",Inventory[[#This Row],[ Opening Stock]]+Inventory[[#This Row],[ Quantity Received]]-Inventory[[#This Row],[ Quantity Used]])</f>
        <v/>
      </c>
    </row>
    <row r="216" spans="1:5" x14ac:dyDescent="0.3">
      <c r="A216" s="8"/>
      <c r="B216" s="8"/>
      <c r="C216" s="18" t="str">
        <f>IF(A216="","",
    SUMIFS(SupplierX!D$6:D$452, SupplierX!C$6:C$452, A216, SupplierX!B$6:B$452, "Item Received")
    + SUMIFS(SupplierY!D$6:D$452, SupplierY!C$6:C$452, A216, SupplierY!B$6:B$452, "Item Received")
)</f>
        <v/>
      </c>
      <c r="D216" s="8"/>
      <c r="E216" s="13" t="str">
        <f>IF(Inventory[[#This Row],[Item]]="","",Inventory[[#This Row],[ Opening Stock]]+Inventory[[#This Row],[ Quantity Received]]-Inventory[[#This Row],[ Quantity Used]])</f>
        <v/>
      </c>
    </row>
    <row r="217" spans="1:5" x14ac:dyDescent="0.3">
      <c r="A217" s="8"/>
      <c r="B217" s="8"/>
      <c r="C217" s="18" t="str">
        <f>IF(A217="","",
    SUMIFS(SupplierX!D$6:D$452, SupplierX!C$6:C$452, A217, SupplierX!B$6:B$452, "Item Received")
    + SUMIFS(SupplierY!D$6:D$452, SupplierY!C$6:C$452, A217, SupplierY!B$6:B$452, "Item Received")
)</f>
        <v/>
      </c>
      <c r="D217" s="8"/>
      <c r="E217" s="13" t="str">
        <f>IF(Inventory[[#This Row],[Item]]="","",Inventory[[#This Row],[ Opening Stock]]+Inventory[[#This Row],[ Quantity Received]]-Inventory[[#This Row],[ Quantity Used]])</f>
        <v/>
      </c>
    </row>
    <row r="218" spans="1:5" x14ac:dyDescent="0.3">
      <c r="A218" s="8"/>
      <c r="B218" s="8"/>
      <c r="C218" s="18" t="str">
        <f>IF(A218="","",
    SUMIFS(SupplierX!D$6:D$452, SupplierX!C$6:C$452, A218, SupplierX!B$6:B$452, "Item Received")
    + SUMIFS(SupplierY!D$6:D$452, SupplierY!C$6:C$452, A218, SupplierY!B$6:B$452, "Item Received")
)</f>
        <v/>
      </c>
      <c r="D218" s="8"/>
      <c r="E218" s="13" t="str">
        <f>IF(Inventory[[#This Row],[Item]]="","",Inventory[[#This Row],[ Opening Stock]]+Inventory[[#This Row],[ Quantity Received]]-Inventory[[#This Row],[ Quantity Used]])</f>
        <v/>
      </c>
    </row>
    <row r="219" spans="1:5" x14ac:dyDescent="0.3">
      <c r="A219" s="8"/>
      <c r="B219" s="8"/>
      <c r="C219" s="18" t="str">
        <f>IF(A219="","",
    SUMIFS(SupplierX!D$6:D$452, SupplierX!C$6:C$452, A219, SupplierX!B$6:B$452, "Item Received")
    + SUMIFS(SupplierY!D$6:D$452, SupplierY!C$6:C$452, A219, SupplierY!B$6:B$452, "Item Received")
)</f>
        <v/>
      </c>
      <c r="D219" s="8"/>
      <c r="E219" s="13" t="str">
        <f>IF(Inventory[[#This Row],[Item]]="","",Inventory[[#This Row],[ Opening Stock]]+Inventory[[#This Row],[ Quantity Received]]-Inventory[[#This Row],[ Quantity Used]])</f>
        <v/>
      </c>
    </row>
    <row r="220" spans="1:5" x14ac:dyDescent="0.3">
      <c r="A220" s="8"/>
      <c r="B220" s="8"/>
      <c r="C220" s="18" t="str">
        <f>IF(A220="","",
    SUMIFS(SupplierX!D$6:D$452, SupplierX!C$6:C$452, A220, SupplierX!B$6:B$452, "Item Received")
    + SUMIFS(SupplierY!D$6:D$452, SupplierY!C$6:C$452, A220, SupplierY!B$6:B$452, "Item Received")
)</f>
        <v/>
      </c>
      <c r="D220" s="8"/>
      <c r="E220" s="13" t="str">
        <f>IF(Inventory[[#This Row],[Item]]="","",Inventory[[#This Row],[ Opening Stock]]+Inventory[[#This Row],[ Quantity Received]]-Inventory[[#This Row],[ Quantity Used]])</f>
        <v/>
      </c>
    </row>
    <row r="221" spans="1:5" x14ac:dyDescent="0.3">
      <c r="A221" s="8"/>
      <c r="B221" s="8"/>
      <c r="C221" s="18" t="str">
        <f>IF(A221="","",
    SUMIFS(SupplierX!D$6:D$452, SupplierX!C$6:C$452, A221, SupplierX!B$6:B$452, "Item Received")
    + SUMIFS(SupplierY!D$6:D$452, SupplierY!C$6:C$452, A221, SupplierY!B$6:B$452, "Item Received")
)</f>
        <v/>
      </c>
      <c r="D221" s="8"/>
      <c r="E221" s="13" t="str">
        <f>IF(Inventory[[#This Row],[Item]]="","",Inventory[[#This Row],[ Opening Stock]]+Inventory[[#This Row],[ Quantity Received]]-Inventory[[#This Row],[ Quantity Used]])</f>
        <v/>
      </c>
    </row>
    <row r="222" spans="1:5" x14ac:dyDescent="0.3">
      <c r="A222" s="8"/>
      <c r="B222" s="8"/>
      <c r="C222" s="18" t="str">
        <f>IF(A222="","",
    SUMIFS(SupplierX!D$6:D$452, SupplierX!C$6:C$452, A222, SupplierX!B$6:B$452, "Item Received")
    + SUMIFS(SupplierY!D$6:D$452, SupplierY!C$6:C$452, A222, SupplierY!B$6:B$452, "Item Received")
)</f>
        <v/>
      </c>
      <c r="D222" s="8"/>
      <c r="E222" s="13" t="str">
        <f>IF(Inventory[[#This Row],[Item]]="","",Inventory[[#This Row],[ Opening Stock]]+Inventory[[#This Row],[ Quantity Received]]-Inventory[[#This Row],[ Quantity Used]])</f>
        <v/>
      </c>
    </row>
    <row r="223" spans="1:5" x14ac:dyDescent="0.3">
      <c r="A223" s="8"/>
      <c r="B223" s="8"/>
      <c r="C223" s="18" t="str">
        <f>IF(A223="","",
    SUMIFS(SupplierX!D$6:D$452, SupplierX!C$6:C$452, A223, SupplierX!B$6:B$452, "Item Received")
    + SUMIFS(SupplierY!D$6:D$452, SupplierY!C$6:C$452, A223, SupplierY!B$6:B$452, "Item Received")
)</f>
        <v/>
      </c>
      <c r="D223" s="8"/>
      <c r="E223" s="13" t="str">
        <f>IF(Inventory[[#This Row],[Item]]="","",Inventory[[#This Row],[ Opening Stock]]+Inventory[[#This Row],[ Quantity Received]]-Inventory[[#This Row],[ Quantity Used]])</f>
        <v/>
      </c>
    </row>
    <row r="224" spans="1:5" x14ac:dyDescent="0.3">
      <c r="A224" s="8"/>
      <c r="B224" s="8"/>
      <c r="C224" s="18" t="str">
        <f>IF(A224="","",
    SUMIFS(SupplierX!D$6:D$452, SupplierX!C$6:C$452, A224, SupplierX!B$6:B$452, "Item Received")
    + SUMIFS(SupplierY!D$6:D$452, SupplierY!C$6:C$452, A224, SupplierY!B$6:B$452, "Item Received")
)</f>
        <v/>
      </c>
      <c r="D224" s="8"/>
      <c r="E224" s="13" t="str">
        <f>IF(Inventory[[#This Row],[Item]]="","",Inventory[[#This Row],[ Opening Stock]]+Inventory[[#This Row],[ Quantity Received]]-Inventory[[#This Row],[ Quantity Used]])</f>
        <v/>
      </c>
    </row>
    <row r="225" spans="1:5" x14ac:dyDescent="0.3">
      <c r="A225" s="8"/>
      <c r="B225" s="8"/>
      <c r="C225" s="18" t="str">
        <f>IF(A225="","",
    SUMIFS(SupplierX!D$6:D$452, SupplierX!C$6:C$452, A225, SupplierX!B$6:B$452, "Item Received")
    + SUMIFS(SupplierY!D$6:D$452, SupplierY!C$6:C$452, A225, SupplierY!B$6:B$452, "Item Received")
)</f>
        <v/>
      </c>
      <c r="D225" s="8"/>
      <c r="E225" s="13" t="str">
        <f>IF(Inventory[[#This Row],[Item]]="","",Inventory[[#This Row],[ Opening Stock]]+Inventory[[#This Row],[ Quantity Received]]-Inventory[[#This Row],[ Quantity Used]])</f>
        <v/>
      </c>
    </row>
    <row r="226" spans="1:5" x14ac:dyDescent="0.3">
      <c r="A226" s="8"/>
      <c r="B226" s="8"/>
      <c r="C226" s="18" t="str">
        <f>IF(A226="","",
    SUMIFS(SupplierX!D$6:D$452, SupplierX!C$6:C$452, A226, SupplierX!B$6:B$452, "Item Received")
    + SUMIFS(SupplierY!D$6:D$452, SupplierY!C$6:C$452, A226, SupplierY!B$6:B$452, "Item Received")
)</f>
        <v/>
      </c>
      <c r="D226" s="8"/>
      <c r="E226" s="13" t="str">
        <f>IF(Inventory[[#This Row],[Item]]="","",Inventory[[#This Row],[ Opening Stock]]+Inventory[[#This Row],[ Quantity Received]]-Inventory[[#This Row],[ Quantity Used]])</f>
        <v/>
      </c>
    </row>
    <row r="227" spans="1:5" x14ac:dyDescent="0.3">
      <c r="A227" s="8"/>
      <c r="B227" s="8"/>
      <c r="C227" s="18" t="str">
        <f>IF(A227="","",
    SUMIFS(SupplierX!D$6:D$452, SupplierX!C$6:C$452, A227, SupplierX!B$6:B$452, "Item Received")
    + SUMIFS(SupplierY!D$6:D$452, SupplierY!C$6:C$452, A227, SupplierY!B$6:B$452, "Item Received")
)</f>
        <v/>
      </c>
      <c r="D227" s="8"/>
      <c r="E227" s="13" t="str">
        <f>IF(Inventory[[#This Row],[Item]]="","",Inventory[[#This Row],[ Opening Stock]]+Inventory[[#This Row],[ Quantity Received]]-Inventory[[#This Row],[ Quantity Used]])</f>
        <v/>
      </c>
    </row>
    <row r="228" spans="1:5" x14ac:dyDescent="0.3">
      <c r="A228" s="8"/>
      <c r="B228" s="8"/>
      <c r="C228" s="18" t="str">
        <f>IF(A228="","",
    SUMIFS(SupplierX!D$6:D$452, SupplierX!C$6:C$452, A228, SupplierX!B$6:B$452, "Item Received")
    + SUMIFS(SupplierY!D$6:D$452, SupplierY!C$6:C$452, A228, SupplierY!B$6:B$452, "Item Received")
)</f>
        <v/>
      </c>
      <c r="D228" s="8"/>
      <c r="E228" s="13" t="str">
        <f>IF(Inventory[[#This Row],[Item]]="","",Inventory[[#This Row],[ Opening Stock]]+Inventory[[#This Row],[ Quantity Received]]-Inventory[[#This Row],[ Quantity Used]])</f>
        <v/>
      </c>
    </row>
    <row r="229" spans="1:5" x14ac:dyDescent="0.3">
      <c r="A229" s="8"/>
      <c r="B229" s="8"/>
      <c r="C229" s="18" t="str">
        <f>IF(A229="","",
    SUMIFS(SupplierX!D$6:D$452, SupplierX!C$6:C$452, A229, SupplierX!B$6:B$452, "Item Received")
    + SUMIFS(SupplierY!D$6:D$452, SupplierY!C$6:C$452, A229, SupplierY!B$6:B$452, "Item Received")
)</f>
        <v/>
      </c>
      <c r="D229" s="8"/>
      <c r="E229" s="13" t="str">
        <f>IF(Inventory[[#This Row],[Item]]="","",Inventory[[#This Row],[ Opening Stock]]+Inventory[[#This Row],[ Quantity Received]]-Inventory[[#This Row],[ Quantity Used]])</f>
        <v/>
      </c>
    </row>
    <row r="230" spans="1:5" x14ac:dyDescent="0.3">
      <c r="A230" s="8"/>
      <c r="B230" s="8"/>
      <c r="C230" s="18" t="str">
        <f>IF(A230="","",
    SUMIFS(SupplierX!D$6:D$452, SupplierX!C$6:C$452, A230, SupplierX!B$6:B$452, "Item Received")
    + SUMIFS(SupplierY!D$6:D$452, SupplierY!C$6:C$452, A230, SupplierY!B$6:B$452, "Item Received")
)</f>
        <v/>
      </c>
      <c r="D230" s="8"/>
      <c r="E230" s="13" t="str">
        <f>IF(Inventory[[#This Row],[Item]]="","",Inventory[[#This Row],[ Opening Stock]]+Inventory[[#This Row],[ Quantity Received]]-Inventory[[#This Row],[ Quantity Used]])</f>
        <v/>
      </c>
    </row>
    <row r="231" spans="1:5" x14ac:dyDescent="0.3">
      <c r="A231" s="8"/>
      <c r="B231" s="8"/>
      <c r="C231" s="18" t="str">
        <f>IF(A231="","",
    SUMIFS(SupplierX!D$6:D$452, SupplierX!C$6:C$452, A231, SupplierX!B$6:B$452, "Item Received")
    + SUMIFS(SupplierY!D$6:D$452, SupplierY!C$6:C$452, A231, SupplierY!B$6:B$452, "Item Received")
)</f>
        <v/>
      </c>
      <c r="D231" s="8"/>
      <c r="E231" s="13" t="str">
        <f>IF(Inventory[[#This Row],[Item]]="","",Inventory[[#This Row],[ Opening Stock]]+Inventory[[#This Row],[ Quantity Received]]-Inventory[[#This Row],[ Quantity Used]])</f>
        <v/>
      </c>
    </row>
    <row r="232" spans="1:5" x14ac:dyDescent="0.3">
      <c r="A232" s="8"/>
      <c r="B232" s="8"/>
      <c r="C232" s="18" t="str">
        <f>IF(A232="","",
    SUMIFS(SupplierX!D$6:D$452, SupplierX!C$6:C$452, A232, SupplierX!B$6:B$452, "Item Received")
    + SUMIFS(SupplierY!D$6:D$452, SupplierY!C$6:C$452, A232, SupplierY!B$6:B$452, "Item Received")
)</f>
        <v/>
      </c>
      <c r="D232" s="8"/>
      <c r="E232" s="13" t="str">
        <f>IF(Inventory[[#This Row],[Item]]="","",Inventory[[#This Row],[ Opening Stock]]+Inventory[[#This Row],[ Quantity Received]]-Inventory[[#This Row],[ Quantity Used]])</f>
        <v/>
      </c>
    </row>
    <row r="233" spans="1:5" x14ac:dyDescent="0.3">
      <c r="A233" s="8"/>
      <c r="B233" s="8"/>
      <c r="C233" s="18" t="str">
        <f>IF(A233="","",
    SUMIFS(SupplierX!D$6:D$452, SupplierX!C$6:C$452, A233, SupplierX!B$6:B$452, "Item Received")
    + SUMIFS(SupplierY!D$6:D$452, SupplierY!C$6:C$452, A233, SupplierY!B$6:B$452, "Item Received")
)</f>
        <v/>
      </c>
      <c r="D233" s="8"/>
      <c r="E233" s="13" t="str">
        <f>IF(Inventory[[#This Row],[Item]]="","",Inventory[[#This Row],[ Opening Stock]]+Inventory[[#This Row],[ Quantity Received]]-Inventory[[#This Row],[ Quantity Used]])</f>
        <v/>
      </c>
    </row>
    <row r="234" spans="1:5" x14ac:dyDescent="0.3">
      <c r="A234" s="8"/>
      <c r="B234" s="8"/>
      <c r="C234" s="18" t="str">
        <f>IF(A234="","",
    SUMIFS(SupplierX!D$6:D$452, SupplierX!C$6:C$452, A234, SupplierX!B$6:B$452, "Item Received")
    + SUMIFS(SupplierY!D$6:D$452, SupplierY!C$6:C$452, A234, SupplierY!B$6:B$452, "Item Received")
)</f>
        <v/>
      </c>
      <c r="D234" s="8"/>
      <c r="E234" s="13" t="str">
        <f>IF(Inventory[[#This Row],[Item]]="","",Inventory[[#This Row],[ Opening Stock]]+Inventory[[#This Row],[ Quantity Received]]-Inventory[[#This Row],[ Quantity Used]])</f>
        <v/>
      </c>
    </row>
    <row r="235" spans="1:5" x14ac:dyDescent="0.3">
      <c r="A235" s="8"/>
      <c r="B235" s="8"/>
      <c r="C235" s="18" t="str">
        <f>IF(A235="","",
    SUMIFS(SupplierX!D$6:D$452, SupplierX!C$6:C$452, A235, SupplierX!B$6:B$452, "Item Received")
    + SUMIFS(SupplierY!D$6:D$452, SupplierY!C$6:C$452, A235, SupplierY!B$6:B$452, "Item Received")
)</f>
        <v/>
      </c>
      <c r="D235" s="8"/>
      <c r="E235" s="13" t="str">
        <f>IF(Inventory[[#This Row],[Item]]="","",Inventory[[#This Row],[ Opening Stock]]+Inventory[[#This Row],[ Quantity Received]]-Inventory[[#This Row],[ Quantity Used]])</f>
        <v/>
      </c>
    </row>
    <row r="236" spans="1:5" x14ac:dyDescent="0.3">
      <c r="A236" s="8"/>
      <c r="B236" s="8"/>
      <c r="C236" s="18" t="str">
        <f>IF(A236="","",
    SUMIFS(SupplierX!D$6:D$452, SupplierX!C$6:C$452, A236, SupplierX!B$6:B$452, "Item Received")
    + SUMIFS(SupplierY!D$6:D$452, SupplierY!C$6:C$452, A236, SupplierY!B$6:B$452, "Item Received")
)</f>
        <v/>
      </c>
      <c r="D236" s="8"/>
      <c r="E236" s="13" t="str">
        <f>IF(Inventory[[#This Row],[Item]]="","",Inventory[[#This Row],[ Opening Stock]]+Inventory[[#This Row],[ Quantity Received]]-Inventory[[#This Row],[ Quantity Used]])</f>
        <v/>
      </c>
    </row>
    <row r="237" spans="1:5" x14ac:dyDescent="0.3">
      <c r="A237" s="8"/>
      <c r="B237" s="8"/>
      <c r="C237" s="18" t="str">
        <f>IF(A237="","",
    SUMIFS(SupplierX!D$6:D$452, SupplierX!C$6:C$452, A237, SupplierX!B$6:B$452, "Item Received")
    + SUMIFS(SupplierY!D$6:D$452, SupplierY!C$6:C$452, A237, SupplierY!B$6:B$452, "Item Received")
)</f>
        <v/>
      </c>
      <c r="D237" s="8"/>
      <c r="E237" s="13" t="str">
        <f>IF(Inventory[[#This Row],[Item]]="","",Inventory[[#This Row],[ Opening Stock]]+Inventory[[#This Row],[ Quantity Received]]-Inventory[[#This Row],[ Quantity Used]])</f>
        <v/>
      </c>
    </row>
    <row r="238" spans="1:5" x14ac:dyDescent="0.3">
      <c r="A238" s="8"/>
      <c r="B238" s="8"/>
      <c r="C238" s="18" t="str">
        <f>IF(A238="","",
    SUMIFS(SupplierX!D$6:D$452, SupplierX!C$6:C$452, A238, SupplierX!B$6:B$452, "Item Received")
    + SUMIFS(SupplierY!D$6:D$452, SupplierY!C$6:C$452, A238, SupplierY!B$6:B$452, "Item Received")
)</f>
        <v/>
      </c>
      <c r="D238" s="8"/>
      <c r="E238" s="13" t="str">
        <f>IF(Inventory[[#This Row],[Item]]="","",Inventory[[#This Row],[ Opening Stock]]+Inventory[[#This Row],[ Quantity Received]]-Inventory[[#This Row],[ Quantity Used]])</f>
        <v/>
      </c>
    </row>
    <row r="239" spans="1:5" x14ac:dyDescent="0.3">
      <c r="A239" s="8"/>
      <c r="B239" s="8"/>
      <c r="C239" s="18" t="str">
        <f>IF(A239="","",
    SUMIFS(SupplierX!D$6:D$452, SupplierX!C$6:C$452, A239, SupplierX!B$6:B$452, "Item Received")
    + SUMIFS(SupplierY!D$6:D$452, SupplierY!C$6:C$452, A239, SupplierY!B$6:B$452, "Item Received")
)</f>
        <v/>
      </c>
      <c r="D239" s="8"/>
      <c r="E239" s="13" t="str">
        <f>IF(Inventory[[#This Row],[Item]]="","",Inventory[[#This Row],[ Opening Stock]]+Inventory[[#This Row],[ Quantity Received]]-Inventory[[#This Row],[ Quantity Used]])</f>
        <v/>
      </c>
    </row>
    <row r="240" spans="1:5" x14ac:dyDescent="0.3">
      <c r="A240" s="8"/>
      <c r="B240" s="8"/>
      <c r="C240" s="18" t="str">
        <f>IF(A240="","",
    SUMIFS(SupplierX!D$6:D$452, SupplierX!C$6:C$452, A240, SupplierX!B$6:B$452, "Item Received")
    + SUMIFS(SupplierY!D$6:D$452, SupplierY!C$6:C$452, A240, SupplierY!B$6:B$452, "Item Received")
)</f>
        <v/>
      </c>
      <c r="D240" s="8"/>
      <c r="E240" s="13" t="str">
        <f>IF(Inventory[[#This Row],[Item]]="","",Inventory[[#This Row],[ Opening Stock]]+Inventory[[#This Row],[ Quantity Received]]-Inventory[[#This Row],[ Quantity Used]])</f>
        <v/>
      </c>
    </row>
    <row r="241" spans="1:5" x14ac:dyDescent="0.3">
      <c r="A241" s="8"/>
      <c r="B241" s="8"/>
      <c r="C241" s="18" t="str">
        <f>IF(A241="","",
    SUMIFS(SupplierX!D$6:D$452, SupplierX!C$6:C$452, A241, SupplierX!B$6:B$452, "Item Received")
    + SUMIFS(SupplierY!D$6:D$452, SupplierY!C$6:C$452, A241, SupplierY!B$6:B$452, "Item Received")
)</f>
        <v/>
      </c>
      <c r="D241" s="8"/>
      <c r="E241" s="13" t="str">
        <f>IF(Inventory[[#This Row],[Item]]="","",Inventory[[#This Row],[ Opening Stock]]+Inventory[[#This Row],[ Quantity Received]]-Inventory[[#This Row],[ Quantity Used]])</f>
        <v/>
      </c>
    </row>
    <row r="242" spans="1:5" x14ac:dyDescent="0.3">
      <c r="A242" s="8"/>
      <c r="B242" s="8"/>
      <c r="C242" s="18" t="str">
        <f>IF(A242="","",
    SUMIFS(SupplierX!D$6:D$452, SupplierX!C$6:C$452, A242, SupplierX!B$6:B$452, "Item Received")
    + SUMIFS(SupplierY!D$6:D$452, SupplierY!C$6:C$452, A242, SupplierY!B$6:B$452, "Item Received")
)</f>
        <v/>
      </c>
      <c r="D242" s="8"/>
      <c r="E242" s="13" t="str">
        <f>IF(Inventory[[#This Row],[Item]]="","",Inventory[[#This Row],[ Opening Stock]]+Inventory[[#This Row],[ Quantity Received]]-Inventory[[#This Row],[ Quantity Used]])</f>
        <v/>
      </c>
    </row>
    <row r="243" spans="1:5" x14ac:dyDescent="0.3">
      <c r="A243" s="8"/>
      <c r="B243" s="8"/>
      <c r="C243" s="18" t="str">
        <f>IF(A243="","",
    SUMIFS(SupplierX!D$6:D$452, SupplierX!C$6:C$452, A243, SupplierX!B$6:B$452, "Item Received")
    + SUMIFS(SupplierY!D$6:D$452, SupplierY!C$6:C$452, A243, SupplierY!B$6:B$452, "Item Received")
)</f>
        <v/>
      </c>
      <c r="D243" s="8"/>
      <c r="E243" s="13" t="str">
        <f>IF(Inventory[[#This Row],[Item]]="","",Inventory[[#This Row],[ Opening Stock]]+Inventory[[#This Row],[ Quantity Received]]-Inventory[[#This Row],[ Quantity Used]])</f>
        <v/>
      </c>
    </row>
    <row r="244" spans="1:5" x14ac:dyDescent="0.3">
      <c r="A244" s="8"/>
      <c r="B244" s="8"/>
      <c r="C244" s="18" t="str">
        <f>IF(A244="","",
    SUMIFS(SupplierX!D$6:D$452, SupplierX!C$6:C$452, A244, SupplierX!B$6:B$452, "Item Received")
    + SUMIFS(SupplierY!D$6:D$452, SupplierY!C$6:C$452, A244, SupplierY!B$6:B$452, "Item Received")
)</f>
        <v/>
      </c>
      <c r="D244" s="8"/>
      <c r="E244" s="13" t="str">
        <f>IF(Inventory[[#This Row],[Item]]="","",Inventory[[#This Row],[ Opening Stock]]+Inventory[[#This Row],[ Quantity Received]]-Inventory[[#This Row],[ Quantity Used]])</f>
        <v/>
      </c>
    </row>
    <row r="245" spans="1:5" x14ac:dyDescent="0.3">
      <c r="A245" s="8"/>
      <c r="B245" s="8"/>
      <c r="C245" s="18" t="str">
        <f>IF(A245="","",
    SUMIFS(SupplierX!D$6:D$452, SupplierX!C$6:C$452, A245, SupplierX!B$6:B$452, "Item Received")
    + SUMIFS(SupplierY!D$6:D$452, SupplierY!C$6:C$452, A245, SupplierY!B$6:B$452, "Item Received")
)</f>
        <v/>
      </c>
      <c r="D245" s="8"/>
      <c r="E245" s="13" t="str">
        <f>IF(Inventory[[#This Row],[Item]]="","",Inventory[[#This Row],[ Opening Stock]]+Inventory[[#This Row],[ Quantity Received]]-Inventory[[#This Row],[ Quantity Used]])</f>
        <v/>
      </c>
    </row>
    <row r="246" spans="1:5" x14ac:dyDescent="0.3">
      <c r="A246" s="8"/>
      <c r="B246" s="8"/>
      <c r="C246" s="18" t="str">
        <f>IF(A246="","",
    SUMIFS(SupplierX!D$6:D$452, SupplierX!C$6:C$452, A246, SupplierX!B$6:B$452, "Item Received")
    + SUMIFS(SupplierY!D$6:D$452, SupplierY!C$6:C$452, A246, SupplierY!B$6:B$452, "Item Received")
)</f>
        <v/>
      </c>
      <c r="D246" s="8"/>
      <c r="E246" s="13" t="str">
        <f>IF(Inventory[[#This Row],[Item]]="","",Inventory[[#This Row],[ Opening Stock]]+Inventory[[#This Row],[ Quantity Received]]-Inventory[[#This Row],[ Quantity Used]])</f>
        <v/>
      </c>
    </row>
    <row r="247" spans="1:5" x14ac:dyDescent="0.3">
      <c r="A247" s="8"/>
      <c r="B247" s="8"/>
      <c r="C247" s="18" t="str">
        <f>IF(A247="","",
    SUMIFS(SupplierX!D$6:D$452, SupplierX!C$6:C$452, A247, SupplierX!B$6:B$452, "Item Received")
    + SUMIFS(SupplierY!D$6:D$452, SupplierY!C$6:C$452, A247, SupplierY!B$6:B$452, "Item Received")
)</f>
        <v/>
      </c>
      <c r="D247" s="8"/>
      <c r="E247" s="13" t="str">
        <f>IF(Inventory[[#This Row],[Item]]="","",Inventory[[#This Row],[ Opening Stock]]+Inventory[[#This Row],[ Quantity Received]]-Inventory[[#This Row],[ Quantity Used]])</f>
        <v/>
      </c>
    </row>
    <row r="248" spans="1:5" x14ac:dyDescent="0.3">
      <c r="A248" s="8"/>
      <c r="B248" s="8"/>
      <c r="C248" s="18" t="str">
        <f>IF(A248="","",
    SUMIFS(SupplierX!D$6:D$452, SupplierX!C$6:C$452, A248, SupplierX!B$6:B$452, "Item Received")
    + SUMIFS(SupplierY!D$6:D$452, SupplierY!C$6:C$452, A248, SupplierY!B$6:B$452, "Item Received")
)</f>
        <v/>
      </c>
      <c r="D248" s="8"/>
      <c r="E248" s="13" t="str">
        <f>IF(Inventory[[#This Row],[Item]]="","",Inventory[[#This Row],[ Opening Stock]]+Inventory[[#This Row],[ Quantity Received]]-Inventory[[#This Row],[ Quantity Used]])</f>
        <v/>
      </c>
    </row>
    <row r="249" spans="1:5" x14ac:dyDescent="0.3">
      <c r="A249" s="8"/>
      <c r="B249" s="8"/>
      <c r="C249" s="18" t="str">
        <f>IF(A249="","",
    SUMIFS(SupplierX!D$6:D$452, SupplierX!C$6:C$452, A249, SupplierX!B$6:B$452, "Item Received")
    + SUMIFS(SupplierY!D$6:D$452, SupplierY!C$6:C$452, A249, SupplierY!B$6:B$452, "Item Received")
)</f>
        <v/>
      </c>
      <c r="D249" s="8"/>
      <c r="E249" s="13" t="str">
        <f>IF(Inventory[[#This Row],[Item]]="","",Inventory[[#This Row],[ Opening Stock]]+Inventory[[#This Row],[ Quantity Received]]-Inventory[[#This Row],[ Quantity Used]])</f>
        <v/>
      </c>
    </row>
    <row r="250" spans="1:5" x14ac:dyDescent="0.3">
      <c r="A250" s="8"/>
      <c r="B250" s="8"/>
      <c r="C250" s="18" t="str">
        <f>IF(A250="","",
    SUMIFS(SupplierX!D$6:D$452, SupplierX!C$6:C$452, A250, SupplierX!B$6:B$452, "Item Received")
    + SUMIFS(SupplierY!D$6:D$452, SupplierY!C$6:C$452, A250, SupplierY!B$6:B$452, "Item Received")
)</f>
        <v/>
      </c>
      <c r="D250" s="8"/>
      <c r="E250" s="13" t="str">
        <f>IF(Inventory[[#This Row],[Item]]="","",Inventory[[#This Row],[ Opening Stock]]+Inventory[[#This Row],[ Quantity Received]]-Inventory[[#This Row],[ Quantity Used]])</f>
        <v/>
      </c>
    </row>
    <row r="251" spans="1:5" x14ac:dyDescent="0.3">
      <c r="A251" s="8"/>
      <c r="B251" s="8"/>
      <c r="C251" s="18" t="str">
        <f>IF(A251="","",
    SUMIFS(SupplierX!D$6:D$452, SupplierX!C$6:C$452, A251, SupplierX!B$6:B$452, "Item Received")
    + SUMIFS(SupplierY!D$6:D$452, SupplierY!C$6:C$452, A251, SupplierY!B$6:B$452, "Item Received")
)</f>
        <v/>
      </c>
      <c r="D251" s="8"/>
      <c r="E251" s="13" t="str">
        <f>IF(Inventory[[#This Row],[Item]]="","",Inventory[[#This Row],[ Opening Stock]]+Inventory[[#This Row],[ Quantity Received]]-Inventory[[#This Row],[ Quantity Used]])</f>
        <v/>
      </c>
    </row>
    <row r="252" spans="1:5" x14ac:dyDescent="0.3">
      <c r="A252" s="8"/>
      <c r="B252" s="8"/>
      <c r="C252" s="18" t="str">
        <f>IF(A252="","",
    SUMIFS(SupplierX!D$6:D$452, SupplierX!C$6:C$452, A252, SupplierX!B$6:B$452, "Item Received")
    + SUMIFS(SupplierY!D$6:D$452, SupplierY!C$6:C$452, A252, SupplierY!B$6:B$452, "Item Received")
)</f>
        <v/>
      </c>
      <c r="D252" s="8"/>
      <c r="E252" s="13" t="str">
        <f>IF(Inventory[[#This Row],[Item]]="","",Inventory[[#This Row],[ Opening Stock]]+Inventory[[#This Row],[ Quantity Received]]-Inventory[[#This Row],[ Quantity Used]])</f>
        <v/>
      </c>
    </row>
    <row r="253" spans="1:5" x14ac:dyDescent="0.3">
      <c r="A253" s="8"/>
      <c r="B253" s="8"/>
      <c r="C253" s="18" t="str">
        <f>IF(A253="","",
    SUMIFS(SupplierX!D$6:D$452, SupplierX!C$6:C$452, A253, SupplierX!B$6:B$452, "Item Received")
    + SUMIFS(SupplierY!D$6:D$452, SupplierY!C$6:C$452, A253, SupplierY!B$6:B$452, "Item Received")
)</f>
        <v/>
      </c>
      <c r="D253" s="8"/>
      <c r="E253" s="13" t="str">
        <f>IF(Inventory[[#This Row],[Item]]="","",Inventory[[#This Row],[ Opening Stock]]+Inventory[[#This Row],[ Quantity Received]]-Inventory[[#This Row],[ Quantity Used]])</f>
        <v/>
      </c>
    </row>
    <row r="254" spans="1:5" x14ac:dyDescent="0.3">
      <c r="A254" s="8"/>
      <c r="B254" s="8"/>
      <c r="C254" s="18" t="str">
        <f>IF(A254="","",
    SUMIFS(SupplierX!D$6:D$452, SupplierX!C$6:C$452, A254, SupplierX!B$6:B$452, "Item Received")
    + SUMIFS(SupplierY!D$6:D$452, SupplierY!C$6:C$452, A254, SupplierY!B$6:B$452, "Item Received")
)</f>
        <v/>
      </c>
      <c r="D254" s="8"/>
      <c r="E254" s="13" t="str">
        <f>IF(Inventory[[#This Row],[Item]]="","",Inventory[[#This Row],[ Opening Stock]]+Inventory[[#This Row],[ Quantity Received]]-Inventory[[#This Row],[ Quantity Used]])</f>
        <v/>
      </c>
    </row>
    <row r="255" spans="1:5" x14ac:dyDescent="0.3">
      <c r="A255" s="8"/>
      <c r="B255" s="8"/>
      <c r="C255" s="18" t="str">
        <f>IF(A255="","",
    SUMIFS(SupplierX!D$6:D$452, SupplierX!C$6:C$452, A255, SupplierX!B$6:B$452, "Item Received")
    + SUMIFS(SupplierY!D$6:D$452, SupplierY!C$6:C$452, A255, SupplierY!B$6:B$452, "Item Received")
)</f>
        <v/>
      </c>
      <c r="D255" s="8"/>
      <c r="E255" s="13" t="str">
        <f>IF(Inventory[[#This Row],[Item]]="","",Inventory[[#This Row],[ Opening Stock]]+Inventory[[#This Row],[ Quantity Received]]-Inventory[[#This Row],[ Quantity Used]])</f>
        <v/>
      </c>
    </row>
    <row r="256" spans="1:5" x14ac:dyDescent="0.3">
      <c r="A256" s="8"/>
      <c r="B256" s="8"/>
      <c r="C256" s="18" t="str">
        <f>IF(A256="","",
    SUMIFS(SupplierX!D$6:D$452, SupplierX!C$6:C$452, A256, SupplierX!B$6:B$452, "Item Received")
    + SUMIFS(SupplierY!D$6:D$452, SupplierY!C$6:C$452, A256, SupplierY!B$6:B$452, "Item Received")
)</f>
        <v/>
      </c>
      <c r="D256" s="8"/>
      <c r="E256" s="13" t="str">
        <f>IF(Inventory[[#This Row],[Item]]="","",Inventory[[#This Row],[ Opening Stock]]+Inventory[[#This Row],[ Quantity Received]]-Inventory[[#This Row],[ Quantity Used]])</f>
        <v/>
      </c>
    </row>
    <row r="257" spans="1:5" x14ac:dyDescent="0.3">
      <c r="A257" s="8"/>
      <c r="B257" s="8"/>
      <c r="C257" s="18" t="str">
        <f>IF(A257="","",
    SUMIFS(SupplierX!D$6:D$452, SupplierX!C$6:C$452, A257, SupplierX!B$6:B$452, "Item Received")
    + SUMIFS(SupplierY!D$6:D$452, SupplierY!C$6:C$452, A257, SupplierY!B$6:B$452, "Item Received")
)</f>
        <v/>
      </c>
      <c r="D257" s="8"/>
      <c r="E257" s="13" t="str">
        <f>IF(Inventory[[#This Row],[Item]]="","",Inventory[[#This Row],[ Opening Stock]]+Inventory[[#This Row],[ Quantity Received]]-Inventory[[#This Row],[ Quantity Used]])</f>
        <v/>
      </c>
    </row>
    <row r="258" spans="1:5" x14ac:dyDescent="0.3">
      <c r="A258" s="8"/>
      <c r="B258" s="8"/>
      <c r="C258" s="18" t="str">
        <f>IF(A258="","",
    SUMIFS(SupplierX!D$6:D$452, SupplierX!C$6:C$452, A258, SupplierX!B$6:B$452, "Item Received")
    + SUMIFS(SupplierY!D$6:D$452, SupplierY!C$6:C$452, A258, SupplierY!B$6:B$452, "Item Received")
)</f>
        <v/>
      </c>
      <c r="D258" s="8"/>
      <c r="E258" s="13" t="str">
        <f>IF(Inventory[[#This Row],[Item]]="","",Inventory[[#This Row],[ Opening Stock]]+Inventory[[#This Row],[ Quantity Received]]-Inventory[[#This Row],[ Quantity Used]])</f>
        <v/>
      </c>
    </row>
    <row r="259" spans="1:5" x14ac:dyDescent="0.3">
      <c r="A259" s="8"/>
      <c r="B259" s="8"/>
      <c r="C259" s="18" t="str">
        <f>IF(A259="","",
    SUMIFS(SupplierX!D$6:D$452, SupplierX!C$6:C$452, A259, SupplierX!B$6:B$452, "Item Received")
    + SUMIFS(SupplierY!D$6:D$452, SupplierY!C$6:C$452, A259, SupplierY!B$6:B$452, "Item Received")
)</f>
        <v/>
      </c>
      <c r="D259" s="8"/>
      <c r="E259" s="13" t="str">
        <f>IF(Inventory[[#This Row],[Item]]="","",Inventory[[#This Row],[ Opening Stock]]+Inventory[[#This Row],[ Quantity Received]]-Inventory[[#This Row],[ Quantity Used]])</f>
        <v/>
      </c>
    </row>
    <row r="260" spans="1:5" x14ac:dyDescent="0.3">
      <c r="A260" s="8"/>
      <c r="B260" s="8"/>
      <c r="C260" s="18" t="str">
        <f>IF(A260="","",
    SUMIFS(SupplierX!D$6:D$452, SupplierX!C$6:C$452, A260, SupplierX!B$6:B$452, "Item Received")
    + SUMIFS(SupplierY!D$6:D$452, SupplierY!C$6:C$452, A260, SupplierY!B$6:B$452, "Item Received")
)</f>
        <v/>
      </c>
      <c r="D260" s="8"/>
      <c r="E260" s="13" t="str">
        <f>IF(Inventory[[#This Row],[Item]]="","",Inventory[[#This Row],[ Opening Stock]]+Inventory[[#This Row],[ Quantity Received]]-Inventory[[#This Row],[ Quantity Used]])</f>
        <v/>
      </c>
    </row>
    <row r="261" spans="1:5" x14ac:dyDescent="0.3">
      <c r="A261" s="8"/>
      <c r="B261" s="8"/>
      <c r="C261" s="18" t="str">
        <f>IF(A261="","",
    SUMIFS(SupplierX!D$6:D$452, SupplierX!C$6:C$452, A261, SupplierX!B$6:B$452, "Item Received")
    + SUMIFS(SupplierY!D$6:D$452, SupplierY!C$6:C$452, A261, SupplierY!B$6:B$452, "Item Received")
)</f>
        <v/>
      </c>
      <c r="D261" s="8"/>
      <c r="E261" s="13" t="str">
        <f>IF(Inventory[[#This Row],[Item]]="","",Inventory[[#This Row],[ Opening Stock]]+Inventory[[#This Row],[ Quantity Received]]-Inventory[[#This Row],[ Quantity Used]])</f>
        <v/>
      </c>
    </row>
    <row r="262" spans="1:5" x14ac:dyDescent="0.3">
      <c r="A262" s="8"/>
      <c r="B262" s="8"/>
      <c r="C262" s="18" t="str">
        <f>IF(A262="","",
    SUMIFS(SupplierX!D$6:D$452, SupplierX!C$6:C$452, A262, SupplierX!B$6:B$452, "Item Received")
    + SUMIFS(SupplierY!D$6:D$452, SupplierY!C$6:C$452, A262, SupplierY!B$6:B$452, "Item Received")
)</f>
        <v/>
      </c>
      <c r="D262" s="8"/>
      <c r="E262" s="13" t="str">
        <f>IF(Inventory[[#This Row],[Item]]="","",Inventory[[#This Row],[ Opening Stock]]+Inventory[[#This Row],[ Quantity Received]]-Inventory[[#This Row],[ Quantity Used]])</f>
        <v/>
      </c>
    </row>
    <row r="263" spans="1:5" x14ac:dyDescent="0.3">
      <c r="A263" s="8"/>
      <c r="B263" s="8"/>
      <c r="C263" s="18" t="str">
        <f>IF(A263="","",
    SUMIFS(SupplierX!D$6:D$452, SupplierX!C$6:C$452, A263, SupplierX!B$6:B$452, "Item Received")
    + SUMIFS(SupplierY!D$6:D$452, SupplierY!C$6:C$452, A263, SupplierY!B$6:B$452, "Item Received")
)</f>
        <v/>
      </c>
      <c r="D263" s="8"/>
      <c r="E263" s="13" t="str">
        <f>IF(Inventory[[#This Row],[Item]]="","",Inventory[[#This Row],[ Opening Stock]]+Inventory[[#This Row],[ Quantity Received]]-Inventory[[#This Row],[ Quantity Used]])</f>
        <v/>
      </c>
    </row>
    <row r="264" spans="1:5" x14ac:dyDescent="0.3">
      <c r="A264" s="8"/>
      <c r="B264" s="8"/>
      <c r="C264" s="18" t="str">
        <f>IF(A264="","",
    SUMIFS(SupplierX!D$6:D$452, SupplierX!C$6:C$452, A264, SupplierX!B$6:B$452, "Item Received")
    + SUMIFS(SupplierY!D$6:D$452, SupplierY!C$6:C$452, A264, SupplierY!B$6:B$452, "Item Received")
)</f>
        <v/>
      </c>
      <c r="D264" s="8"/>
      <c r="E264" s="13" t="str">
        <f>IF(Inventory[[#This Row],[Item]]="","",Inventory[[#This Row],[ Opening Stock]]+Inventory[[#This Row],[ Quantity Received]]-Inventory[[#This Row],[ Quantity Used]])</f>
        <v/>
      </c>
    </row>
    <row r="265" spans="1:5" x14ac:dyDescent="0.3">
      <c r="A265" s="8"/>
      <c r="B265" s="8"/>
      <c r="C265" s="18" t="str">
        <f>IF(A265="","",
    SUMIFS(SupplierX!D$6:D$452, SupplierX!C$6:C$452, A265, SupplierX!B$6:B$452, "Item Received")
    + SUMIFS(SupplierY!D$6:D$452, SupplierY!C$6:C$452, A265, SupplierY!B$6:B$452, "Item Received")
)</f>
        <v/>
      </c>
      <c r="D265" s="8"/>
      <c r="E265" s="13" t="str">
        <f>IF(Inventory[[#This Row],[Item]]="","",Inventory[[#This Row],[ Opening Stock]]+Inventory[[#This Row],[ Quantity Received]]-Inventory[[#This Row],[ Quantity Used]])</f>
        <v/>
      </c>
    </row>
    <row r="266" spans="1:5" x14ac:dyDescent="0.3">
      <c r="A266" s="8"/>
      <c r="B266" s="8"/>
      <c r="C266" s="18" t="str">
        <f>IF(A266="","",
    SUMIFS(SupplierX!D$6:D$452, SupplierX!C$6:C$452, A266, SupplierX!B$6:B$452, "Item Received")
    + SUMIFS(SupplierY!D$6:D$452, SupplierY!C$6:C$452, A266, SupplierY!B$6:B$452, "Item Received")
)</f>
        <v/>
      </c>
      <c r="D266" s="8"/>
      <c r="E266" s="13" t="str">
        <f>IF(Inventory[[#This Row],[Item]]="","",Inventory[[#This Row],[ Opening Stock]]+Inventory[[#This Row],[ Quantity Received]]-Inventory[[#This Row],[ Quantity Used]])</f>
        <v/>
      </c>
    </row>
    <row r="267" spans="1:5" x14ac:dyDescent="0.3">
      <c r="A267" s="8"/>
      <c r="B267" s="8"/>
      <c r="C267" s="18" t="str">
        <f>IF(A267="","",
    SUMIFS(SupplierX!D$6:D$452, SupplierX!C$6:C$452, A267, SupplierX!B$6:B$452, "Item Received")
    + SUMIFS(SupplierY!D$6:D$452, SupplierY!C$6:C$452, A267, SupplierY!B$6:B$452, "Item Received")
)</f>
        <v/>
      </c>
      <c r="D267" s="8"/>
      <c r="E267" s="13" t="str">
        <f>IF(Inventory[[#This Row],[Item]]="","",Inventory[[#This Row],[ Opening Stock]]+Inventory[[#This Row],[ Quantity Received]]-Inventory[[#This Row],[ Quantity Used]])</f>
        <v/>
      </c>
    </row>
    <row r="268" spans="1:5" x14ac:dyDescent="0.3">
      <c r="A268" s="8"/>
      <c r="B268" s="8"/>
      <c r="C268" s="18" t="str">
        <f>IF(A268="","",
    SUMIFS(SupplierX!D$6:D$452, SupplierX!C$6:C$452, A268, SupplierX!B$6:B$452, "Item Received")
    + SUMIFS(SupplierY!D$6:D$452, SupplierY!C$6:C$452, A268, SupplierY!B$6:B$452, "Item Received")
)</f>
        <v/>
      </c>
      <c r="D268" s="8"/>
      <c r="E268" s="13" t="str">
        <f>IF(Inventory[[#This Row],[Item]]="","",Inventory[[#This Row],[ Opening Stock]]+Inventory[[#This Row],[ Quantity Received]]-Inventory[[#This Row],[ Quantity Used]])</f>
        <v/>
      </c>
    </row>
    <row r="269" spans="1:5" x14ac:dyDescent="0.3">
      <c r="A269" s="8"/>
      <c r="B269" s="8"/>
      <c r="C269" s="18" t="str">
        <f>IF(A269="","",
    SUMIFS(SupplierX!D$6:D$452, SupplierX!C$6:C$452, A269, SupplierX!B$6:B$452, "Item Received")
    + SUMIFS(SupplierY!D$6:D$452, SupplierY!C$6:C$452, A269, SupplierY!B$6:B$452, "Item Received")
)</f>
        <v/>
      </c>
      <c r="D269" s="8"/>
      <c r="E269" s="13" t="str">
        <f>IF(Inventory[[#This Row],[Item]]="","",Inventory[[#This Row],[ Opening Stock]]+Inventory[[#This Row],[ Quantity Received]]-Inventory[[#This Row],[ Quantity Used]])</f>
        <v/>
      </c>
    </row>
    <row r="270" spans="1:5" x14ac:dyDescent="0.3">
      <c r="A270" s="8"/>
      <c r="B270" s="8"/>
      <c r="C270" s="18" t="str">
        <f>IF(A270="","",
    SUMIFS(SupplierX!D$6:D$452, SupplierX!C$6:C$452, A270, SupplierX!B$6:B$452, "Item Received")
    + SUMIFS(SupplierY!D$6:D$452, SupplierY!C$6:C$452, A270, SupplierY!B$6:B$452, "Item Received")
)</f>
        <v/>
      </c>
      <c r="D270" s="8"/>
      <c r="E270" s="13" t="str">
        <f>IF(Inventory[[#This Row],[Item]]="","",Inventory[[#This Row],[ Opening Stock]]+Inventory[[#This Row],[ Quantity Received]]-Inventory[[#This Row],[ Quantity Used]])</f>
        <v/>
      </c>
    </row>
    <row r="271" spans="1:5" x14ac:dyDescent="0.3">
      <c r="A271" s="8"/>
      <c r="B271" s="8"/>
      <c r="C271" s="18" t="str">
        <f>IF(A271="","",
    SUMIFS(SupplierX!D$6:D$452, SupplierX!C$6:C$452, A271, SupplierX!B$6:B$452, "Item Received")
    + SUMIFS(SupplierY!D$6:D$452, SupplierY!C$6:C$452, A271, SupplierY!B$6:B$452, "Item Received")
)</f>
        <v/>
      </c>
      <c r="D271" s="8"/>
      <c r="E271" s="13" t="str">
        <f>IF(Inventory[[#This Row],[Item]]="","",Inventory[[#This Row],[ Opening Stock]]+Inventory[[#This Row],[ Quantity Received]]-Inventory[[#This Row],[ Quantity Used]])</f>
        <v/>
      </c>
    </row>
    <row r="272" spans="1:5" x14ac:dyDescent="0.3">
      <c r="A272" s="8"/>
      <c r="B272" s="8"/>
      <c r="C272" s="18" t="str">
        <f>IF(A272="","",
    SUMIFS(SupplierX!D$6:D$452, SupplierX!C$6:C$452, A272, SupplierX!B$6:B$452, "Item Received")
    + SUMIFS(SupplierY!D$6:D$452, SupplierY!C$6:C$452, A272, SupplierY!B$6:B$452, "Item Received")
)</f>
        <v/>
      </c>
      <c r="D272" s="8"/>
      <c r="E272" s="13" t="str">
        <f>IF(Inventory[[#This Row],[Item]]="","",Inventory[[#This Row],[ Opening Stock]]+Inventory[[#This Row],[ Quantity Received]]-Inventory[[#This Row],[ Quantity Used]])</f>
        <v/>
      </c>
    </row>
    <row r="273" spans="1:5" x14ac:dyDescent="0.3">
      <c r="A273" s="8"/>
      <c r="B273" s="8"/>
      <c r="C273" s="18" t="str">
        <f>IF(A273="","",
    SUMIFS(SupplierX!D$6:D$452, SupplierX!C$6:C$452, A273, SupplierX!B$6:B$452, "Item Received")
    + SUMIFS(SupplierY!D$6:D$452, SupplierY!C$6:C$452, A273, SupplierY!B$6:B$452, "Item Received")
)</f>
        <v/>
      </c>
      <c r="D273" s="8"/>
      <c r="E273" s="13" t="str">
        <f>IF(Inventory[[#This Row],[Item]]="","",Inventory[[#This Row],[ Opening Stock]]+Inventory[[#This Row],[ Quantity Received]]-Inventory[[#This Row],[ Quantity Used]])</f>
        <v/>
      </c>
    </row>
    <row r="274" spans="1:5" x14ac:dyDescent="0.3">
      <c r="A274" s="8"/>
      <c r="B274" s="8"/>
      <c r="C274" s="18" t="str">
        <f>IF(A274="","",
    SUMIFS(SupplierX!D$6:D$452, SupplierX!C$6:C$452, A274, SupplierX!B$6:B$452, "Item Received")
    + SUMIFS(SupplierY!D$6:D$452, SupplierY!C$6:C$452, A274, SupplierY!B$6:B$452, "Item Received")
)</f>
        <v/>
      </c>
      <c r="D274" s="8"/>
      <c r="E274" s="13" t="str">
        <f>IF(Inventory[[#This Row],[Item]]="","",Inventory[[#This Row],[ Opening Stock]]+Inventory[[#This Row],[ Quantity Received]]-Inventory[[#This Row],[ Quantity Used]])</f>
        <v/>
      </c>
    </row>
    <row r="275" spans="1:5" x14ac:dyDescent="0.3">
      <c r="A275" s="8"/>
      <c r="B275" s="8"/>
      <c r="C275" s="18" t="str">
        <f>IF(A275="","",
    SUMIFS(SupplierX!D$6:D$452, SupplierX!C$6:C$452, A275, SupplierX!B$6:B$452, "Item Received")
    + SUMIFS(SupplierY!D$6:D$452, SupplierY!C$6:C$452, A275, SupplierY!B$6:B$452, "Item Received")
)</f>
        <v/>
      </c>
      <c r="D275" s="8"/>
      <c r="E275" s="13" t="str">
        <f>IF(Inventory[[#This Row],[Item]]="","",Inventory[[#This Row],[ Opening Stock]]+Inventory[[#This Row],[ Quantity Received]]-Inventory[[#This Row],[ Quantity Used]])</f>
        <v/>
      </c>
    </row>
    <row r="276" spans="1:5" x14ac:dyDescent="0.3">
      <c r="A276" s="8"/>
      <c r="B276" s="8"/>
      <c r="C276" s="18" t="str">
        <f>IF(A276="","",
    SUMIFS(SupplierX!D$6:D$452, SupplierX!C$6:C$452, A276, SupplierX!B$6:B$452, "Item Received")
    + SUMIFS(SupplierY!D$6:D$452, SupplierY!C$6:C$452, A276, SupplierY!B$6:B$452, "Item Received")
)</f>
        <v/>
      </c>
      <c r="D276" s="8"/>
      <c r="E276" s="13" t="str">
        <f>IF(Inventory[[#This Row],[Item]]="","",Inventory[[#This Row],[ Opening Stock]]+Inventory[[#This Row],[ Quantity Received]]-Inventory[[#This Row],[ Quantity Used]])</f>
        <v/>
      </c>
    </row>
    <row r="277" spans="1:5" x14ac:dyDescent="0.3">
      <c r="A277" s="8"/>
      <c r="B277" s="8"/>
      <c r="C277" s="18" t="str">
        <f>IF(A277="","",
    SUMIFS(SupplierX!D$6:D$452, SupplierX!C$6:C$452, A277, SupplierX!B$6:B$452, "Item Received")
    + SUMIFS(SupplierY!D$6:D$452, SupplierY!C$6:C$452, A277, SupplierY!B$6:B$452, "Item Received")
)</f>
        <v/>
      </c>
      <c r="D277" s="8"/>
      <c r="E277" s="13" t="str">
        <f>IF(Inventory[[#This Row],[Item]]="","",Inventory[[#This Row],[ Opening Stock]]+Inventory[[#This Row],[ Quantity Received]]-Inventory[[#This Row],[ Quantity Used]])</f>
        <v/>
      </c>
    </row>
    <row r="278" spans="1:5" x14ac:dyDescent="0.3">
      <c r="A278" s="8"/>
      <c r="B278" s="8"/>
      <c r="C278" s="18" t="str">
        <f>IF(A278="","",
    SUMIFS(SupplierX!D$6:D$452, SupplierX!C$6:C$452, A278, SupplierX!B$6:B$452, "Item Received")
    + SUMIFS(SupplierY!D$6:D$452, SupplierY!C$6:C$452, A278, SupplierY!B$6:B$452, "Item Received")
)</f>
        <v/>
      </c>
      <c r="D278" s="8"/>
      <c r="E278" s="13" t="str">
        <f>IF(Inventory[[#This Row],[Item]]="","",Inventory[[#This Row],[ Opening Stock]]+Inventory[[#This Row],[ Quantity Received]]-Inventory[[#This Row],[ Quantity Used]])</f>
        <v/>
      </c>
    </row>
    <row r="279" spans="1:5" x14ac:dyDescent="0.3">
      <c r="A279" s="8"/>
      <c r="B279" s="8"/>
      <c r="C279" s="18" t="str">
        <f>IF(A279="","",
    SUMIFS(SupplierX!D$6:D$452, SupplierX!C$6:C$452, A279, SupplierX!B$6:B$452, "Item Received")
    + SUMIFS(SupplierY!D$6:D$452, SupplierY!C$6:C$452, A279, SupplierY!B$6:B$452, "Item Received")
)</f>
        <v/>
      </c>
      <c r="D279" s="8"/>
      <c r="E279" s="13" t="str">
        <f>IF(Inventory[[#This Row],[Item]]="","",Inventory[[#This Row],[ Opening Stock]]+Inventory[[#This Row],[ Quantity Received]]-Inventory[[#This Row],[ Quantity Used]])</f>
        <v/>
      </c>
    </row>
    <row r="280" spans="1:5" x14ac:dyDescent="0.3">
      <c r="A280" s="8"/>
      <c r="B280" s="8"/>
      <c r="C280" s="18" t="str">
        <f>IF(A280="","",
    SUMIFS(SupplierX!D$6:D$452, SupplierX!C$6:C$452, A280, SupplierX!B$6:B$452, "Item Received")
    + SUMIFS(SupplierY!D$6:D$452, SupplierY!C$6:C$452, A280, SupplierY!B$6:B$452, "Item Received")
)</f>
        <v/>
      </c>
      <c r="D280" s="8"/>
      <c r="E280" s="13" t="str">
        <f>IF(Inventory[[#This Row],[Item]]="","",Inventory[[#This Row],[ Opening Stock]]+Inventory[[#This Row],[ Quantity Received]]-Inventory[[#This Row],[ Quantity Used]])</f>
        <v/>
      </c>
    </row>
    <row r="281" spans="1:5" x14ac:dyDescent="0.3">
      <c r="A281" s="8"/>
      <c r="B281" s="8"/>
      <c r="C281" s="18" t="str">
        <f>IF(A281="","",
    SUMIFS(SupplierX!D$6:D$452, SupplierX!C$6:C$452, A281, SupplierX!B$6:B$452, "Item Received")
    + SUMIFS(SupplierY!D$6:D$452, SupplierY!C$6:C$452, A281, SupplierY!B$6:B$452, "Item Received")
)</f>
        <v/>
      </c>
      <c r="D281" s="8"/>
      <c r="E281" s="13" t="str">
        <f>IF(Inventory[[#This Row],[Item]]="","",Inventory[[#This Row],[ Opening Stock]]+Inventory[[#This Row],[ Quantity Received]]-Inventory[[#This Row],[ Quantity Used]])</f>
        <v/>
      </c>
    </row>
    <row r="282" spans="1:5" x14ac:dyDescent="0.3">
      <c r="A282" s="8"/>
      <c r="B282" s="8"/>
      <c r="C282" s="18" t="str">
        <f>IF(A282="","",
    SUMIFS(SupplierX!D$6:D$452, SupplierX!C$6:C$452, A282, SupplierX!B$6:B$452, "Item Received")
    + SUMIFS(SupplierY!D$6:D$452, SupplierY!C$6:C$452, A282, SupplierY!B$6:B$452, "Item Received")
)</f>
        <v/>
      </c>
      <c r="D282" s="8"/>
      <c r="E282" s="13" t="str">
        <f>IF(Inventory[[#This Row],[Item]]="","",Inventory[[#This Row],[ Opening Stock]]+Inventory[[#This Row],[ Quantity Received]]-Inventory[[#This Row],[ Quantity Used]])</f>
        <v/>
      </c>
    </row>
    <row r="283" spans="1:5" x14ac:dyDescent="0.3">
      <c r="A283" s="8"/>
      <c r="B283" s="8"/>
      <c r="C283" s="18" t="str">
        <f>IF(A283="","",
    SUMIFS(SupplierX!D$6:D$452, SupplierX!C$6:C$452, A283, SupplierX!B$6:B$452, "Item Received")
    + SUMIFS(SupplierY!D$6:D$452, SupplierY!C$6:C$452, A283, SupplierY!B$6:B$452, "Item Received")
)</f>
        <v/>
      </c>
      <c r="D283" s="8"/>
      <c r="E283" s="13" t="str">
        <f>IF(Inventory[[#This Row],[Item]]="","",Inventory[[#This Row],[ Opening Stock]]+Inventory[[#This Row],[ Quantity Received]]-Inventory[[#This Row],[ Quantity Used]])</f>
        <v/>
      </c>
    </row>
    <row r="284" spans="1:5" x14ac:dyDescent="0.3">
      <c r="A284" s="8"/>
      <c r="B284" s="8"/>
      <c r="C284" s="18" t="str">
        <f>IF(A284="","",
    SUMIFS(SupplierX!D$6:D$452, SupplierX!C$6:C$452, A284, SupplierX!B$6:B$452, "Item Received")
    + SUMIFS(SupplierY!D$6:D$452, SupplierY!C$6:C$452, A284, SupplierY!B$6:B$452, "Item Received")
)</f>
        <v/>
      </c>
      <c r="D284" s="8"/>
      <c r="E284" s="13" t="str">
        <f>IF(Inventory[[#This Row],[Item]]="","",Inventory[[#This Row],[ Opening Stock]]+Inventory[[#This Row],[ Quantity Received]]-Inventory[[#This Row],[ Quantity Used]])</f>
        <v/>
      </c>
    </row>
    <row r="285" spans="1:5" x14ac:dyDescent="0.3">
      <c r="A285" s="8"/>
      <c r="B285" s="8"/>
      <c r="C285" s="18" t="str">
        <f>IF(A285="","",
    SUMIFS(SupplierX!D$6:D$452, SupplierX!C$6:C$452, A285, SupplierX!B$6:B$452, "Item Received")
    + SUMIFS(SupplierY!D$6:D$452, SupplierY!C$6:C$452, A285, SupplierY!B$6:B$452, "Item Received")
)</f>
        <v/>
      </c>
      <c r="D285" s="8"/>
      <c r="E285" s="13" t="str">
        <f>IF(Inventory[[#This Row],[Item]]="","",Inventory[[#This Row],[ Opening Stock]]+Inventory[[#This Row],[ Quantity Received]]-Inventory[[#This Row],[ Quantity Used]])</f>
        <v/>
      </c>
    </row>
    <row r="286" spans="1:5" x14ac:dyDescent="0.3">
      <c r="A286" s="8"/>
      <c r="B286" s="8"/>
      <c r="C286" s="18" t="str">
        <f>IF(A286="","",
    SUMIFS(SupplierX!D$6:D$452, SupplierX!C$6:C$452, A286, SupplierX!B$6:B$452, "Item Received")
    + SUMIFS(SupplierY!D$6:D$452, SupplierY!C$6:C$452, A286, SupplierY!B$6:B$452, "Item Received")
)</f>
        <v/>
      </c>
      <c r="D286" s="8"/>
      <c r="E286" s="13" t="str">
        <f>IF(Inventory[[#This Row],[Item]]="","",Inventory[[#This Row],[ Opening Stock]]+Inventory[[#This Row],[ Quantity Received]]-Inventory[[#This Row],[ Quantity Used]])</f>
        <v/>
      </c>
    </row>
    <row r="287" spans="1:5" x14ac:dyDescent="0.3">
      <c r="A287" s="8"/>
      <c r="B287" s="8"/>
      <c r="C287" s="18" t="str">
        <f>IF(A287="","",
    SUMIFS(SupplierX!D$6:D$452, SupplierX!C$6:C$452, A287, SupplierX!B$6:B$452, "Item Received")
    + SUMIFS(SupplierY!D$6:D$452, SupplierY!C$6:C$452, A287, SupplierY!B$6:B$452, "Item Received")
)</f>
        <v/>
      </c>
      <c r="D287" s="8"/>
      <c r="E287" s="13" t="str">
        <f>IF(Inventory[[#This Row],[Item]]="","",Inventory[[#This Row],[ Opening Stock]]+Inventory[[#This Row],[ Quantity Received]]-Inventory[[#This Row],[ Quantity Used]])</f>
        <v/>
      </c>
    </row>
    <row r="288" spans="1:5" x14ac:dyDescent="0.3">
      <c r="A288" s="8"/>
      <c r="B288" s="8"/>
      <c r="C288" s="18" t="str">
        <f>IF(A288="","",
    SUMIFS(SupplierX!D$6:D$452, SupplierX!C$6:C$452, A288, SupplierX!B$6:B$452, "Item Received")
    + SUMIFS(SupplierY!D$6:D$452, SupplierY!C$6:C$452, A288, SupplierY!B$6:B$452, "Item Received")
)</f>
        <v/>
      </c>
      <c r="D288" s="8"/>
      <c r="E288" s="13" t="str">
        <f>IF(Inventory[[#This Row],[Item]]="","",Inventory[[#This Row],[ Opening Stock]]+Inventory[[#This Row],[ Quantity Received]]-Inventory[[#This Row],[ Quantity Used]])</f>
        <v/>
      </c>
    </row>
    <row r="289" spans="1:5" x14ac:dyDescent="0.3">
      <c r="A289" s="8"/>
      <c r="B289" s="8"/>
      <c r="C289" s="18" t="str">
        <f>IF(A289="","",
    SUMIFS(SupplierX!D$6:D$452, SupplierX!C$6:C$452, A289, SupplierX!B$6:B$452, "Item Received")
    + SUMIFS(SupplierY!D$6:D$452, SupplierY!C$6:C$452, A289, SupplierY!B$6:B$452, "Item Received")
)</f>
        <v/>
      </c>
      <c r="D289" s="8"/>
      <c r="E289" s="13" t="str">
        <f>IF(Inventory[[#This Row],[Item]]="","",Inventory[[#This Row],[ Opening Stock]]+Inventory[[#This Row],[ Quantity Received]]-Inventory[[#This Row],[ Quantity Used]])</f>
        <v/>
      </c>
    </row>
    <row r="290" spans="1:5" x14ac:dyDescent="0.3">
      <c r="A290" s="8"/>
      <c r="B290" s="8"/>
      <c r="C290" s="18" t="str">
        <f>IF(A290="","",
    SUMIFS(SupplierX!D$6:D$452, SupplierX!C$6:C$452, A290, SupplierX!B$6:B$452, "Item Received")
    + SUMIFS(SupplierY!D$6:D$452, SupplierY!C$6:C$452, A290, SupplierY!B$6:B$452, "Item Received")
)</f>
        <v/>
      </c>
      <c r="D290" s="8"/>
      <c r="E290" s="13" t="str">
        <f>IF(Inventory[[#This Row],[Item]]="","",Inventory[[#This Row],[ Opening Stock]]+Inventory[[#This Row],[ Quantity Received]]-Inventory[[#This Row],[ Quantity Used]])</f>
        <v/>
      </c>
    </row>
    <row r="291" spans="1:5" x14ac:dyDescent="0.3">
      <c r="A291" s="8"/>
      <c r="B291" s="8"/>
      <c r="C291" s="18" t="str">
        <f>IF(A291="","",
    SUMIFS(SupplierX!D$6:D$452, SupplierX!C$6:C$452, A291, SupplierX!B$6:B$452, "Item Received")
    + SUMIFS(SupplierY!D$6:D$452, SupplierY!C$6:C$452, A291, SupplierY!B$6:B$452, "Item Received")
)</f>
        <v/>
      </c>
      <c r="D291" s="8"/>
      <c r="E291" s="13" t="str">
        <f>IF(Inventory[[#This Row],[Item]]="","",Inventory[[#This Row],[ Opening Stock]]+Inventory[[#This Row],[ Quantity Received]]-Inventory[[#This Row],[ Quantity Used]])</f>
        <v/>
      </c>
    </row>
    <row r="292" spans="1:5" x14ac:dyDescent="0.3">
      <c r="A292" s="8"/>
      <c r="B292" s="8"/>
      <c r="C292" s="18" t="str">
        <f>IF(A292="","",
    SUMIFS(SupplierX!D$6:D$452, SupplierX!C$6:C$452, A292, SupplierX!B$6:B$452, "Item Received")
    + SUMIFS(SupplierY!D$6:D$452, SupplierY!C$6:C$452, A292, SupplierY!B$6:B$452, "Item Received")
)</f>
        <v/>
      </c>
      <c r="D292" s="8"/>
      <c r="E292" s="13" t="str">
        <f>IF(Inventory[[#This Row],[Item]]="","",Inventory[[#This Row],[ Opening Stock]]+Inventory[[#This Row],[ Quantity Received]]-Inventory[[#This Row],[ Quantity Used]])</f>
        <v/>
      </c>
    </row>
    <row r="293" spans="1:5" x14ac:dyDescent="0.3">
      <c r="A293" s="8"/>
      <c r="B293" s="8"/>
      <c r="C293" s="18" t="str">
        <f>IF(A293="","",
    SUMIFS(SupplierX!D$6:D$452, SupplierX!C$6:C$452, A293, SupplierX!B$6:B$452, "Item Received")
    + SUMIFS(SupplierY!D$6:D$452, SupplierY!C$6:C$452, A293, SupplierY!B$6:B$452, "Item Received")
)</f>
        <v/>
      </c>
      <c r="D293" s="8"/>
      <c r="E293" s="13" t="str">
        <f>IF(Inventory[[#This Row],[Item]]="","",Inventory[[#This Row],[ Opening Stock]]+Inventory[[#This Row],[ Quantity Received]]-Inventory[[#This Row],[ Quantity Used]])</f>
        <v/>
      </c>
    </row>
    <row r="294" spans="1:5" x14ac:dyDescent="0.3">
      <c r="A294" s="8"/>
      <c r="B294" s="8"/>
      <c r="C294" s="18" t="str">
        <f>IF(A294="","",
    SUMIFS(SupplierX!D$6:D$452, SupplierX!C$6:C$452, A294, SupplierX!B$6:B$452, "Item Received")
    + SUMIFS(SupplierY!D$6:D$452, SupplierY!C$6:C$452, A294, SupplierY!B$6:B$452, "Item Received")
)</f>
        <v/>
      </c>
      <c r="D294" s="8"/>
      <c r="E294" s="13" t="str">
        <f>IF(Inventory[[#This Row],[Item]]="","",Inventory[[#This Row],[ Opening Stock]]+Inventory[[#This Row],[ Quantity Received]]-Inventory[[#This Row],[ Quantity Used]])</f>
        <v/>
      </c>
    </row>
    <row r="295" spans="1:5" x14ac:dyDescent="0.3">
      <c r="A295" s="8"/>
      <c r="B295" s="8"/>
      <c r="C295" s="18" t="str">
        <f>IF(A295="","",
    SUMIFS(SupplierX!D$6:D$452, SupplierX!C$6:C$452, A295, SupplierX!B$6:B$452, "Item Received")
    + SUMIFS(SupplierY!D$6:D$452, SupplierY!C$6:C$452, A295, SupplierY!B$6:B$452, "Item Received")
)</f>
        <v/>
      </c>
      <c r="D295" s="8"/>
      <c r="E295" s="13" t="str">
        <f>IF(Inventory[[#This Row],[Item]]="","",Inventory[[#This Row],[ Opening Stock]]+Inventory[[#This Row],[ Quantity Received]]-Inventory[[#This Row],[ Quantity Used]])</f>
        <v/>
      </c>
    </row>
    <row r="296" spans="1:5" x14ac:dyDescent="0.3">
      <c r="A296" s="8"/>
      <c r="B296" s="8"/>
      <c r="C296" s="18" t="str">
        <f>IF(A296="","",
    SUMIFS(SupplierX!D$6:D$452, SupplierX!C$6:C$452, A296, SupplierX!B$6:B$452, "Item Received")
    + SUMIFS(SupplierY!D$6:D$452, SupplierY!C$6:C$452, A296, SupplierY!B$6:B$452, "Item Received")
)</f>
        <v/>
      </c>
      <c r="D296" s="8"/>
      <c r="E296" s="13" t="str">
        <f>IF(Inventory[[#This Row],[Item]]="","",Inventory[[#This Row],[ Opening Stock]]+Inventory[[#This Row],[ Quantity Received]]-Inventory[[#This Row],[ Quantity Used]])</f>
        <v/>
      </c>
    </row>
    <row r="297" spans="1:5" x14ac:dyDescent="0.3">
      <c r="A297" s="8"/>
      <c r="B297" s="8"/>
      <c r="C297" s="18" t="str">
        <f>IF(A297="","",
    SUMIFS(SupplierX!D$6:D$452, SupplierX!C$6:C$452, A297, SupplierX!B$6:B$452, "Item Received")
    + SUMIFS(SupplierY!D$6:D$452, SupplierY!C$6:C$452, A297, SupplierY!B$6:B$452, "Item Received")
)</f>
        <v/>
      </c>
      <c r="D297" s="8"/>
      <c r="E297" s="13" t="str">
        <f>IF(Inventory[[#This Row],[Item]]="","",Inventory[[#This Row],[ Opening Stock]]+Inventory[[#This Row],[ Quantity Received]]-Inventory[[#This Row],[ Quantity Used]])</f>
        <v/>
      </c>
    </row>
    <row r="298" spans="1:5" x14ac:dyDescent="0.3">
      <c r="A298" s="8"/>
      <c r="B298" s="8"/>
      <c r="C298" s="18" t="str">
        <f>IF(A298="","",
    SUMIFS(SupplierX!D$6:D$452, SupplierX!C$6:C$452, A298, SupplierX!B$6:B$452, "Item Received")
    + SUMIFS(SupplierY!D$6:D$452, SupplierY!C$6:C$452, A298, SupplierY!B$6:B$452, "Item Received")
)</f>
        <v/>
      </c>
      <c r="D298" s="8"/>
      <c r="E298" s="13" t="str">
        <f>IF(Inventory[[#This Row],[Item]]="","",Inventory[[#This Row],[ Opening Stock]]+Inventory[[#This Row],[ Quantity Received]]-Inventory[[#This Row],[ Quantity Used]])</f>
        <v/>
      </c>
    </row>
    <row r="299" spans="1:5" x14ac:dyDescent="0.3">
      <c r="A299" s="8"/>
      <c r="B299" s="8"/>
      <c r="C299" s="18" t="str">
        <f>IF(A299="","",
    SUMIFS(SupplierX!D$6:D$452, SupplierX!C$6:C$452, A299, SupplierX!B$6:B$452, "Item Received")
    + SUMIFS(SupplierY!D$6:D$452, SupplierY!C$6:C$452, A299, SupplierY!B$6:B$452, "Item Received")
)</f>
        <v/>
      </c>
      <c r="D299" s="8"/>
      <c r="E299" s="13" t="str">
        <f>IF(Inventory[[#This Row],[Item]]="","",Inventory[[#This Row],[ Opening Stock]]+Inventory[[#This Row],[ Quantity Received]]-Inventory[[#This Row],[ Quantity Used]])</f>
        <v/>
      </c>
    </row>
    <row r="300" spans="1:5" x14ac:dyDescent="0.3">
      <c r="A300" s="8"/>
      <c r="B300" s="8"/>
      <c r="C300" s="18" t="str">
        <f>IF(A300="","",
    SUMIFS(SupplierX!D$6:D$452, SupplierX!C$6:C$452, A300, SupplierX!B$6:B$452, "Item Received")
    + SUMIFS(SupplierY!D$6:D$452, SupplierY!C$6:C$452, A300, SupplierY!B$6:B$452, "Item Received")
)</f>
        <v/>
      </c>
      <c r="D300" s="8"/>
      <c r="E300" s="13" t="str">
        <f>IF(Inventory[[#This Row],[Item]]="","",Inventory[[#This Row],[ Opening Stock]]+Inventory[[#This Row],[ Quantity Received]]-Inventory[[#This Row],[ Quantity Used]])</f>
        <v/>
      </c>
    </row>
    <row r="301" spans="1:5" x14ac:dyDescent="0.3">
      <c r="A301" s="8"/>
      <c r="B301" s="8"/>
      <c r="C301" s="18" t="str">
        <f>IF(A301="","",
    SUMIFS(SupplierX!D$6:D$452, SupplierX!C$6:C$452, A301, SupplierX!B$6:B$452, "Item Received")
    + SUMIFS(SupplierY!D$6:D$452, SupplierY!C$6:C$452, A301, SupplierY!B$6:B$452, "Item Received")
)</f>
        <v/>
      </c>
      <c r="D301" s="8"/>
      <c r="E301" s="13" t="str">
        <f>IF(Inventory[[#This Row],[Item]]="","",Inventory[[#This Row],[ Opening Stock]]+Inventory[[#This Row],[ Quantity Received]]-Inventory[[#This Row],[ Quantity Used]])</f>
        <v/>
      </c>
    </row>
    <row r="302" spans="1:5" x14ac:dyDescent="0.3">
      <c r="A302" s="8"/>
      <c r="B302" s="8"/>
      <c r="C302" s="18" t="str">
        <f>IF(A302="","",
    SUMIFS(SupplierX!D$6:D$452, SupplierX!C$6:C$452, A302, SupplierX!B$6:B$452, "Item Received")
    + SUMIFS(SupplierY!D$6:D$452, SupplierY!C$6:C$452, A302, SupplierY!B$6:B$452, "Item Received")
)</f>
        <v/>
      </c>
      <c r="D302" s="8"/>
      <c r="E302" s="13" t="str">
        <f>IF(Inventory[[#This Row],[Item]]="","",Inventory[[#This Row],[ Opening Stock]]+Inventory[[#This Row],[ Quantity Received]]-Inventory[[#This Row],[ Quantity Used]])</f>
        <v/>
      </c>
    </row>
    <row r="303" spans="1:5" x14ac:dyDescent="0.3">
      <c r="A303" s="8"/>
      <c r="B303" s="8"/>
      <c r="C303" s="18" t="str">
        <f>IF(A303="","",
    SUMIFS(SupplierX!D$6:D$452, SupplierX!C$6:C$452, A303, SupplierX!B$6:B$452, "Item Received")
    + SUMIFS(SupplierY!D$6:D$452, SupplierY!C$6:C$452, A303, SupplierY!B$6:B$452, "Item Received")
)</f>
        <v/>
      </c>
      <c r="D303" s="8"/>
      <c r="E303" s="13" t="str">
        <f>IF(Inventory[[#This Row],[Item]]="","",Inventory[[#This Row],[ Opening Stock]]+Inventory[[#This Row],[ Quantity Received]]-Inventory[[#This Row],[ Quantity Used]])</f>
        <v/>
      </c>
    </row>
    <row r="304" spans="1:5" x14ac:dyDescent="0.3">
      <c r="A304" s="8"/>
      <c r="B304" s="8"/>
      <c r="C304" s="18" t="str">
        <f>IF(A304="","",
    SUMIFS(SupplierX!D$6:D$452, SupplierX!C$6:C$452, A304, SupplierX!B$6:B$452, "Item Received")
    + SUMIFS(SupplierY!D$6:D$452, SupplierY!C$6:C$452, A304, SupplierY!B$6:B$452, "Item Received")
)</f>
        <v/>
      </c>
      <c r="D304" s="8"/>
      <c r="E304" s="13" t="str">
        <f>IF(Inventory[[#This Row],[Item]]="","",Inventory[[#This Row],[ Opening Stock]]+Inventory[[#This Row],[ Quantity Received]]-Inventory[[#This Row],[ Quantity Used]])</f>
        <v/>
      </c>
    </row>
    <row r="305" spans="1:5" x14ac:dyDescent="0.3">
      <c r="A305" s="8"/>
      <c r="B305" s="8"/>
      <c r="C305" s="18" t="str">
        <f>IF(A305="","",
    SUMIFS(SupplierX!D$6:D$452, SupplierX!C$6:C$452, A305, SupplierX!B$6:B$452, "Item Received")
    + SUMIFS(SupplierY!D$6:D$452, SupplierY!C$6:C$452, A305, SupplierY!B$6:B$452, "Item Received")
)</f>
        <v/>
      </c>
      <c r="D305" s="8"/>
      <c r="E305" s="13" t="str">
        <f>IF(Inventory[[#This Row],[Item]]="","",Inventory[[#This Row],[ Opening Stock]]+Inventory[[#This Row],[ Quantity Received]]-Inventory[[#This Row],[ Quantity Used]])</f>
        <v/>
      </c>
    </row>
    <row r="306" spans="1:5" x14ac:dyDescent="0.3">
      <c r="A306" s="8"/>
      <c r="B306" s="8"/>
      <c r="C306" s="18" t="str">
        <f>IF(A306="","",
    SUMIFS(SupplierX!D$6:D$452, SupplierX!C$6:C$452, A306, SupplierX!B$6:B$452, "Item Received")
    + SUMIFS(SupplierY!D$6:D$452, SupplierY!C$6:C$452, A306, SupplierY!B$6:B$452, "Item Received")
)</f>
        <v/>
      </c>
      <c r="D306" s="8"/>
      <c r="E306" s="13" t="str">
        <f>IF(Inventory[[#This Row],[Item]]="","",Inventory[[#This Row],[ Opening Stock]]+Inventory[[#This Row],[ Quantity Received]]-Inventory[[#This Row],[ Quantity Used]])</f>
        <v/>
      </c>
    </row>
    <row r="307" spans="1:5" x14ac:dyDescent="0.3">
      <c r="A307" s="8"/>
      <c r="B307" s="8"/>
      <c r="C307" s="18" t="str">
        <f>IF(A307="","",
    SUMIFS(SupplierX!D$6:D$452, SupplierX!C$6:C$452, A307, SupplierX!B$6:B$452, "Item Received")
    + SUMIFS(SupplierY!D$6:D$452, SupplierY!C$6:C$452, A307, SupplierY!B$6:B$452, "Item Received")
)</f>
        <v/>
      </c>
      <c r="D307" s="8"/>
      <c r="E307" s="13" t="str">
        <f>IF(Inventory[[#This Row],[Item]]="","",Inventory[[#This Row],[ Opening Stock]]+Inventory[[#This Row],[ Quantity Received]]-Inventory[[#This Row],[ Quantity Used]])</f>
        <v/>
      </c>
    </row>
    <row r="308" spans="1:5" x14ac:dyDescent="0.3">
      <c r="A308" s="8"/>
      <c r="B308" s="8"/>
      <c r="C308" s="18" t="str">
        <f>IF(A308="","",
    SUMIFS(SupplierX!D$6:D$452, SupplierX!C$6:C$452, A308, SupplierX!B$6:B$452, "Item Received")
    + SUMIFS(SupplierY!D$6:D$452, SupplierY!C$6:C$452, A308, SupplierY!B$6:B$452, "Item Received")
)</f>
        <v/>
      </c>
      <c r="D308" s="8"/>
      <c r="E308" s="13" t="str">
        <f>IF(Inventory[[#This Row],[Item]]="","",Inventory[[#This Row],[ Opening Stock]]+Inventory[[#This Row],[ Quantity Received]]-Inventory[[#This Row],[ Quantity Used]])</f>
        <v/>
      </c>
    </row>
    <row r="309" spans="1:5" x14ac:dyDescent="0.3">
      <c r="A309" s="8"/>
      <c r="B309" s="8"/>
      <c r="C309" s="18" t="str">
        <f>IF(A309="","",
    SUMIFS(SupplierX!D$6:D$452, SupplierX!C$6:C$452, A309, SupplierX!B$6:B$452, "Item Received")
    + SUMIFS(SupplierY!D$6:D$452, SupplierY!C$6:C$452, A309, SupplierY!B$6:B$452, "Item Received")
)</f>
        <v/>
      </c>
      <c r="D309" s="8"/>
      <c r="E309" s="13" t="str">
        <f>IF(Inventory[[#This Row],[Item]]="","",Inventory[[#This Row],[ Opening Stock]]+Inventory[[#This Row],[ Quantity Received]]-Inventory[[#This Row],[ Quantity Used]])</f>
        <v/>
      </c>
    </row>
    <row r="310" spans="1:5" x14ac:dyDescent="0.3">
      <c r="A310" s="8"/>
      <c r="B310" s="8"/>
      <c r="C310" s="18" t="str">
        <f>IF(A310="","",
    SUMIFS(SupplierX!D$6:D$452, SupplierX!C$6:C$452, A310, SupplierX!B$6:B$452, "Item Received")
    + SUMIFS(SupplierY!D$6:D$452, SupplierY!C$6:C$452, A310, SupplierY!B$6:B$452, "Item Received")
)</f>
        <v/>
      </c>
      <c r="D310" s="8"/>
      <c r="E310" s="13" t="str">
        <f>IF(Inventory[[#This Row],[Item]]="","",Inventory[[#This Row],[ Opening Stock]]+Inventory[[#This Row],[ Quantity Received]]-Inventory[[#This Row],[ Quantity Used]])</f>
        <v/>
      </c>
    </row>
    <row r="311" spans="1:5" x14ac:dyDescent="0.3">
      <c r="A311" s="8"/>
      <c r="B311" s="8"/>
      <c r="C311" s="18" t="str">
        <f>IF(A311="","",
    SUMIFS(SupplierX!D$6:D$452, SupplierX!C$6:C$452, A311, SupplierX!B$6:B$452, "Item Received")
    + SUMIFS(SupplierY!D$6:D$452, SupplierY!C$6:C$452, A311, SupplierY!B$6:B$452, "Item Received")
)</f>
        <v/>
      </c>
      <c r="D311" s="8"/>
      <c r="E311" s="13" t="str">
        <f>IF(Inventory[[#This Row],[Item]]="","",Inventory[[#This Row],[ Opening Stock]]+Inventory[[#This Row],[ Quantity Received]]-Inventory[[#This Row],[ Quantity Used]])</f>
        <v/>
      </c>
    </row>
    <row r="312" spans="1:5" x14ac:dyDescent="0.3">
      <c r="A312" s="8"/>
      <c r="B312" s="8"/>
      <c r="C312" s="18" t="str">
        <f>IF(A312="","",
    SUMIFS(SupplierX!D$6:D$452, SupplierX!C$6:C$452, A312, SupplierX!B$6:B$452, "Item Received")
    + SUMIFS(SupplierY!D$6:D$452, SupplierY!C$6:C$452, A312, SupplierY!B$6:B$452, "Item Received")
)</f>
        <v/>
      </c>
      <c r="D312" s="8"/>
      <c r="E312" s="13" t="str">
        <f>IF(Inventory[[#This Row],[Item]]="","",Inventory[[#This Row],[ Opening Stock]]+Inventory[[#This Row],[ Quantity Received]]-Inventory[[#This Row],[ Quantity Used]])</f>
        <v/>
      </c>
    </row>
    <row r="313" spans="1:5" x14ac:dyDescent="0.3">
      <c r="A313" s="8"/>
      <c r="B313" s="8"/>
      <c r="C313" s="18" t="str">
        <f>IF(A313="","",
    SUMIFS(SupplierX!D$6:D$452, SupplierX!C$6:C$452, A313, SupplierX!B$6:B$452, "Item Received")
    + SUMIFS(SupplierY!D$6:D$452, SupplierY!C$6:C$452, A313, SupplierY!B$6:B$452, "Item Received")
)</f>
        <v/>
      </c>
      <c r="D313" s="8"/>
      <c r="E313" s="13" t="str">
        <f>IF(Inventory[[#This Row],[Item]]="","",Inventory[[#This Row],[ Opening Stock]]+Inventory[[#This Row],[ Quantity Received]]-Inventory[[#This Row],[ Quantity Used]])</f>
        <v/>
      </c>
    </row>
    <row r="314" spans="1:5" x14ac:dyDescent="0.3">
      <c r="A314" s="8"/>
      <c r="B314" s="8"/>
      <c r="C314" s="18" t="str">
        <f>IF(A314="","",
    SUMIFS(SupplierX!D$6:D$452, SupplierX!C$6:C$452, A314, SupplierX!B$6:B$452, "Item Received")
    + SUMIFS(SupplierY!D$6:D$452, SupplierY!C$6:C$452, A314, SupplierY!B$6:B$452, "Item Received")
)</f>
        <v/>
      </c>
      <c r="D314" s="8"/>
      <c r="E314" s="13" t="str">
        <f>IF(Inventory[[#This Row],[Item]]="","",Inventory[[#This Row],[ Opening Stock]]+Inventory[[#This Row],[ Quantity Received]]-Inventory[[#This Row],[ Quantity Used]])</f>
        <v/>
      </c>
    </row>
    <row r="315" spans="1:5" x14ac:dyDescent="0.3">
      <c r="A315" s="8"/>
      <c r="B315" s="8"/>
      <c r="C315" s="18" t="str">
        <f>IF(A315="","",
    SUMIFS(SupplierX!D$6:D$452, SupplierX!C$6:C$452, A315, SupplierX!B$6:B$452, "Item Received")
    + SUMIFS(SupplierY!D$6:D$452, SupplierY!C$6:C$452, A315, SupplierY!B$6:B$452, "Item Received")
)</f>
        <v/>
      </c>
      <c r="D315" s="8"/>
      <c r="E315" s="13" t="str">
        <f>IF(Inventory[[#This Row],[Item]]="","",Inventory[[#This Row],[ Opening Stock]]+Inventory[[#This Row],[ Quantity Received]]-Inventory[[#This Row],[ Quantity Used]])</f>
        <v/>
      </c>
    </row>
    <row r="316" spans="1:5" x14ac:dyDescent="0.3">
      <c r="A316" s="8"/>
      <c r="B316" s="8"/>
      <c r="C316" s="18" t="str">
        <f>IF(A316="","",
    SUMIFS(SupplierX!D$6:D$452, SupplierX!C$6:C$452, A316, SupplierX!B$6:B$452, "Item Received")
    + SUMIFS(SupplierY!D$6:D$452, SupplierY!C$6:C$452, A316, SupplierY!B$6:B$452, "Item Received")
)</f>
        <v/>
      </c>
      <c r="D316" s="8"/>
      <c r="E316" s="13" t="str">
        <f>IF(Inventory[[#This Row],[Item]]="","",Inventory[[#This Row],[ Opening Stock]]+Inventory[[#This Row],[ Quantity Received]]-Inventory[[#This Row],[ Quantity Used]])</f>
        <v/>
      </c>
    </row>
    <row r="317" spans="1:5" x14ac:dyDescent="0.3">
      <c r="A317" s="8"/>
      <c r="B317" s="8"/>
      <c r="C317" s="18" t="str">
        <f>IF(A317="","",
    SUMIFS(SupplierX!D$6:D$452, SupplierX!C$6:C$452, A317, SupplierX!B$6:B$452, "Item Received")
    + SUMIFS(SupplierY!D$6:D$452, SupplierY!C$6:C$452, A317, SupplierY!B$6:B$452, "Item Received")
)</f>
        <v/>
      </c>
      <c r="D317" s="8"/>
      <c r="E317" s="13" t="str">
        <f>IF(Inventory[[#This Row],[Item]]="","",Inventory[[#This Row],[ Opening Stock]]+Inventory[[#This Row],[ Quantity Received]]-Inventory[[#This Row],[ Quantity Used]])</f>
        <v/>
      </c>
    </row>
    <row r="318" spans="1:5" x14ac:dyDescent="0.3">
      <c r="A318" s="8"/>
      <c r="B318" s="8"/>
      <c r="C318" s="18" t="str">
        <f>IF(A318="","",
    SUMIFS(SupplierX!D$6:D$452, SupplierX!C$6:C$452, A318, SupplierX!B$6:B$452, "Item Received")
    + SUMIFS(SupplierY!D$6:D$452, SupplierY!C$6:C$452, A318, SupplierY!B$6:B$452, "Item Received")
)</f>
        <v/>
      </c>
      <c r="D318" s="8"/>
      <c r="E318" s="13" t="str">
        <f>IF(Inventory[[#This Row],[Item]]="","",Inventory[[#This Row],[ Opening Stock]]+Inventory[[#This Row],[ Quantity Received]]-Inventory[[#This Row],[ Quantity Used]])</f>
        <v/>
      </c>
    </row>
    <row r="319" spans="1:5" x14ac:dyDescent="0.3">
      <c r="A319" s="8"/>
      <c r="B319" s="8"/>
      <c r="C319" s="18" t="str">
        <f>IF(A319="","",
    SUMIFS(SupplierX!D$6:D$452, SupplierX!C$6:C$452, A319, SupplierX!B$6:B$452, "Item Received")
    + SUMIFS(SupplierY!D$6:D$452, SupplierY!C$6:C$452, A319, SupplierY!B$6:B$452, "Item Received")
)</f>
        <v/>
      </c>
      <c r="D319" s="8"/>
      <c r="E319" s="13" t="str">
        <f>IF(Inventory[[#This Row],[Item]]="","",Inventory[[#This Row],[ Opening Stock]]+Inventory[[#This Row],[ Quantity Received]]-Inventory[[#This Row],[ Quantity Used]])</f>
        <v/>
      </c>
    </row>
    <row r="320" spans="1:5" x14ac:dyDescent="0.3">
      <c r="A320" s="8"/>
      <c r="B320" s="8"/>
      <c r="C320" s="18" t="str">
        <f>IF(A320="","",
    SUMIFS(SupplierX!D$6:D$452, SupplierX!C$6:C$452, A320, SupplierX!B$6:B$452, "Item Received")
    + SUMIFS(SupplierY!D$6:D$452, SupplierY!C$6:C$452, A320, SupplierY!B$6:B$452, "Item Received")
)</f>
        <v/>
      </c>
      <c r="D320" s="8"/>
      <c r="E320" s="13" t="str">
        <f>IF(Inventory[[#This Row],[Item]]="","",Inventory[[#This Row],[ Opening Stock]]+Inventory[[#This Row],[ Quantity Received]]-Inventory[[#This Row],[ Quantity Used]])</f>
        <v/>
      </c>
    </row>
    <row r="321" spans="1:5" x14ac:dyDescent="0.3">
      <c r="A321" s="8"/>
      <c r="B321" s="8"/>
      <c r="C321" s="18" t="str">
        <f>IF(A321="","",
    SUMIFS(SupplierX!D$6:D$452, SupplierX!C$6:C$452, A321, SupplierX!B$6:B$452, "Item Received")
    + SUMIFS(SupplierY!D$6:D$452, SupplierY!C$6:C$452, A321, SupplierY!B$6:B$452, "Item Received")
)</f>
        <v/>
      </c>
      <c r="D321" s="8"/>
      <c r="E321" s="13" t="str">
        <f>IF(Inventory[[#This Row],[Item]]="","",Inventory[[#This Row],[ Opening Stock]]+Inventory[[#This Row],[ Quantity Received]]-Inventory[[#This Row],[ Quantity Used]])</f>
        <v/>
      </c>
    </row>
    <row r="322" spans="1:5" x14ac:dyDescent="0.3">
      <c r="A322" s="8"/>
      <c r="B322" s="8"/>
      <c r="C322" s="18" t="str">
        <f>IF(A322="","",
    SUMIFS(SupplierX!D$6:D$452, SupplierX!C$6:C$452, A322, SupplierX!B$6:B$452, "Item Received")
    + SUMIFS(SupplierY!D$6:D$452, SupplierY!C$6:C$452, A322, SupplierY!B$6:B$452, "Item Received")
)</f>
        <v/>
      </c>
      <c r="D322" s="8"/>
      <c r="E322" s="13" t="str">
        <f>IF(Inventory[[#This Row],[Item]]="","",Inventory[[#This Row],[ Opening Stock]]+Inventory[[#This Row],[ Quantity Received]]-Inventory[[#This Row],[ Quantity Used]])</f>
        <v/>
      </c>
    </row>
    <row r="323" spans="1:5" x14ac:dyDescent="0.3">
      <c r="A323" s="8"/>
      <c r="B323" s="8"/>
      <c r="C323" s="18" t="str">
        <f>IF(A323="","",
    SUMIFS(SupplierX!D$6:D$452, SupplierX!C$6:C$452, A323, SupplierX!B$6:B$452, "Item Received")
    + SUMIFS(SupplierY!D$6:D$452, SupplierY!C$6:C$452, A323, SupplierY!B$6:B$452, "Item Received")
)</f>
        <v/>
      </c>
      <c r="D323" s="8"/>
      <c r="E323" s="13" t="str">
        <f>IF(Inventory[[#This Row],[Item]]="","",Inventory[[#This Row],[ Opening Stock]]+Inventory[[#This Row],[ Quantity Received]]-Inventory[[#This Row],[ Quantity Used]])</f>
        <v/>
      </c>
    </row>
    <row r="324" spans="1:5" x14ac:dyDescent="0.3">
      <c r="A324" s="8"/>
      <c r="B324" s="8"/>
      <c r="C324" s="18" t="str">
        <f>IF(A324="","",
    SUMIFS(SupplierX!D$6:D$452, SupplierX!C$6:C$452, A324, SupplierX!B$6:B$452, "Item Received")
    + SUMIFS(SupplierY!D$6:D$452, SupplierY!C$6:C$452, A324, SupplierY!B$6:B$452, "Item Received")
)</f>
        <v/>
      </c>
      <c r="D324" s="8"/>
      <c r="E324" s="13" t="str">
        <f>IF(Inventory[[#This Row],[Item]]="","",Inventory[[#This Row],[ Opening Stock]]+Inventory[[#This Row],[ Quantity Received]]-Inventory[[#This Row],[ Quantity Used]])</f>
        <v/>
      </c>
    </row>
    <row r="325" spans="1:5" x14ac:dyDescent="0.3">
      <c r="A325" s="8"/>
      <c r="B325" s="8"/>
      <c r="C325" s="18" t="str">
        <f>IF(A325="","",
    SUMIFS(SupplierX!D$6:D$452, SupplierX!C$6:C$452, A325, SupplierX!B$6:B$452, "Item Received")
    + SUMIFS(SupplierY!D$6:D$452, SupplierY!C$6:C$452, A325, SupplierY!B$6:B$452, "Item Received")
)</f>
        <v/>
      </c>
      <c r="D325" s="8"/>
      <c r="E325" s="13" t="str">
        <f>IF(Inventory[[#This Row],[Item]]="","",Inventory[[#This Row],[ Opening Stock]]+Inventory[[#This Row],[ Quantity Received]]-Inventory[[#This Row],[ Quantity Used]])</f>
        <v/>
      </c>
    </row>
    <row r="326" spans="1:5" x14ac:dyDescent="0.3">
      <c r="A326" s="8"/>
      <c r="B326" s="8"/>
      <c r="C326" s="18" t="str">
        <f>IF(A326="","",
    SUMIFS(SupplierX!D$6:D$452, SupplierX!C$6:C$452, A326, SupplierX!B$6:B$452, "Item Received")
    + SUMIFS(SupplierY!D$6:D$452, SupplierY!C$6:C$452, A326, SupplierY!B$6:B$452, "Item Received")
)</f>
        <v/>
      </c>
      <c r="D326" s="8"/>
      <c r="E326" s="13" t="str">
        <f>IF(Inventory[[#This Row],[Item]]="","",Inventory[[#This Row],[ Opening Stock]]+Inventory[[#This Row],[ Quantity Received]]-Inventory[[#This Row],[ Quantity Used]])</f>
        <v/>
      </c>
    </row>
    <row r="327" spans="1:5" x14ac:dyDescent="0.3">
      <c r="A327" s="8"/>
      <c r="B327" s="8"/>
      <c r="C327" s="18" t="str">
        <f>IF(A327="","",
    SUMIFS(SupplierX!D$6:D$452, SupplierX!C$6:C$452, A327, SupplierX!B$6:B$452, "Item Received")
    + SUMIFS(SupplierY!D$6:D$452, SupplierY!C$6:C$452, A327, SupplierY!B$6:B$452, "Item Received")
)</f>
        <v/>
      </c>
      <c r="D327" s="8"/>
      <c r="E327" s="13" t="str">
        <f>IF(Inventory[[#This Row],[Item]]="","",Inventory[[#This Row],[ Opening Stock]]+Inventory[[#This Row],[ Quantity Received]]-Inventory[[#This Row],[ Quantity Used]])</f>
        <v/>
      </c>
    </row>
    <row r="328" spans="1:5" x14ac:dyDescent="0.3">
      <c r="A328" s="8"/>
      <c r="B328" s="8"/>
      <c r="C328" s="18" t="str">
        <f>IF(A328="","",
    SUMIFS(SupplierX!D$6:D$452, SupplierX!C$6:C$452, A328, SupplierX!B$6:B$452, "Item Received")
    + SUMIFS(SupplierY!D$6:D$452, SupplierY!C$6:C$452, A328, SupplierY!B$6:B$452, "Item Received")
)</f>
        <v/>
      </c>
      <c r="D328" s="8"/>
      <c r="E328" s="13" t="str">
        <f>IF(Inventory[[#This Row],[Item]]="","",Inventory[[#This Row],[ Opening Stock]]+Inventory[[#This Row],[ Quantity Received]]-Inventory[[#This Row],[ Quantity Used]])</f>
        <v/>
      </c>
    </row>
    <row r="329" spans="1:5" x14ac:dyDescent="0.3">
      <c r="A329" s="8"/>
      <c r="B329" s="8"/>
      <c r="C329" s="18" t="str">
        <f>IF(A329="","",
    SUMIFS(SupplierX!D$6:D$452, SupplierX!C$6:C$452, A329, SupplierX!B$6:B$452, "Item Received")
    + SUMIFS(SupplierY!D$6:D$452, SupplierY!C$6:C$452, A329, SupplierY!B$6:B$452, "Item Received")
)</f>
        <v/>
      </c>
      <c r="D329" s="8"/>
      <c r="E329" s="13" t="str">
        <f>IF(Inventory[[#This Row],[Item]]="","",Inventory[[#This Row],[ Opening Stock]]+Inventory[[#This Row],[ Quantity Received]]-Inventory[[#This Row],[ Quantity Used]])</f>
        <v/>
      </c>
    </row>
    <row r="330" spans="1:5" x14ac:dyDescent="0.3">
      <c r="A330" s="8"/>
      <c r="B330" s="8"/>
      <c r="C330" s="18" t="str">
        <f>IF(A330="","",
    SUMIFS(SupplierX!D$6:D$452, SupplierX!C$6:C$452, A330, SupplierX!B$6:B$452, "Item Received")
    + SUMIFS(SupplierY!D$6:D$452, SupplierY!C$6:C$452, A330, SupplierY!B$6:B$452, "Item Received")
)</f>
        <v/>
      </c>
      <c r="D330" s="8"/>
      <c r="E330" s="13" t="str">
        <f>IF(Inventory[[#This Row],[Item]]="","",Inventory[[#This Row],[ Opening Stock]]+Inventory[[#This Row],[ Quantity Received]]-Inventory[[#This Row],[ Quantity Used]])</f>
        <v/>
      </c>
    </row>
    <row r="331" spans="1:5" x14ac:dyDescent="0.3">
      <c r="A331" s="8"/>
      <c r="B331" s="8"/>
      <c r="C331" s="18" t="str">
        <f>IF(A331="","",
    SUMIFS(SupplierX!D$6:D$452, SupplierX!C$6:C$452, A331, SupplierX!B$6:B$452, "Item Received")
    + SUMIFS(SupplierY!D$6:D$452, SupplierY!C$6:C$452, A331, SupplierY!B$6:B$452, "Item Received")
)</f>
        <v/>
      </c>
      <c r="D331" s="8"/>
      <c r="E331" s="13" t="str">
        <f>IF(Inventory[[#This Row],[Item]]="","",Inventory[[#This Row],[ Opening Stock]]+Inventory[[#This Row],[ Quantity Received]]-Inventory[[#This Row],[ Quantity Used]])</f>
        <v/>
      </c>
    </row>
    <row r="332" spans="1:5" x14ac:dyDescent="0.3">
      <c r="A332" s="8"/>
      <c r="B332" s="8"/>
      <c r="C332" s="18" t="str">
        <f>IF(A332="","",
    SUMIFS(SupplierX!D$6:D$452, SupplierX!C$6:C$452, A332, SupplierX!B$6:B$452, "Item Received")
    + SUMIFS(SupplierY!D$6:D$452, SupplierY!C$6:C$452, A332, SupplierY!B$6:B$452, "Item Received")
)</f>
        <v/>
      </c>
      <c r="D332" s="8"/>
      <c r="E332" s="13" t="str">
        <f>IF(Inventory[[#This Row],[Item]]="","",Inventory[[#This Row],[ Opening Stock]]+Inventory[[#This Row],[ Quantity Received]]-Inventory[[#This Row],[ Quantity Used]])</f>
        <v/>
      </c>
    </row>
    <row r="333" spans="1:5" x14ac:dyDescent="0.3">
      <c r="A333" s="8"/>
      <c r="B333" s="8"/>
      <c r="C333" s="18" t="str">
        <f>IF(A333="","",
    SUMIFS(SupplierX!D$6:D$452, SupplierX!C$6:C$452, A333, SupplierX!B$6:B$452, "Item Received")
    + SUMIFS(SupplierY!D$6:D$452, SupplierY!C$6:C$452, A333, SupplierY!B$6:B$452, "Item Received")
)</f>
        <v/>
      </c>
      <c r="D333" s="8"/>
      <c r="E333" s="13" t="str">
        <f>IF(Inventory[[#This Row],[Item]]="","",Inventory[[#This Row],[ Opening Stock]]+Inventory[[#This Row],[ Quantity Received]]-Inventory[[#This Row],[ Quantity Used]])</f>
        <v/>
      </c>
    </row>
    <row r="334" spans="1:5" x14ac:dyDescent="0.3">
      <c r="A334" s="8"/>
      <c r="B334" s="8"/>
      <c r="C334" s="18" t="str">
        <f>IF(A334="","",
    SUMIFS(SupplierX!D$6:D$452, SupplierX!C$6:C$452, A334, SupplierX!B$6:B$452, "Item Received")
    + SUMIFS(SupplierY!D$6:D$452, SupplierY!C$6:C$452, A334, SupplierY!B$6:B$452, "Item Received")
)</f>
        <v/>
      </c>
      <c r="D334" s="8"/>
      <c r="E334" s="13" t="str">
        <f>IF(Inventory[[#This Row],[Item]]="","",Inventory[[#This Row],[ Opening Stock]]+Inventory[[#This Row],[ Quantity Received]]-Inventory[[#This Row],[ Quantity Used]])</f>
        <v/>
      </c>
    </row>
    <row r="335" spans="1:5" x14ac:dyDescent="0.3">
      <c r="A335" s="8"/>
      <c r="B335" s="8"/>
      <c r="C335" s="18" t="str">
        <f>IF(A335="","",
    SUMIFS(SupplierX!D$6:D$452, SupplierX!C$6:C$452, A335, SupplierX!B$6:B$452, "Item Received")
    + SUMIFS(SupplierY!D$6:D$452, SupplierY!C$6:C$452, A335, SupplierY!B$6:B$452, "Item Received")
)</f>
        <v/>
      </c>
      <c r="D335" s="8"/>
      <c r="E335" s="13" t="str">
        <f>IF(Inventory[[#This Row],[Item]]="","",Inventory[[#This Row],[ Opening Stock]]+Inventory[[#This Row],[ Quantity Received]]-Inventory[[#This Row],[ Quantity Used]])</f>
        <v/>
      </c>
    </row>
    <row r="336" spans="1:5" x14ac:dyDescent="0.3">
      <c r="A336" s="8"/>
      <c r="B336" s="8"/>
      <c r="C336" s="18" t="str">
        <f>IF(A336="","",
    SUMIFS(SupplierX!D$6:D$452, SupplierX!C$6:C$452, A336, SupplierX!B$6:B$452, "Item Received")
    + SUMIFS(SupplierY!D$6:D$452, SupplierY!C$6:C$452, A336, SupplierY!B$6:B$452, "Item Received")
)</f>
        <v/>
      </c>
      <c r="D336" s="8"/>
      <c r="E336" s="13" t="str">
        <f>IF(Inventory[[#This Row],[Item]]="","",Inventory[[#This Row],[ Opening Stock]]+Inventory[[#This Row],[ Quantity Received]]-Inventory[[#This Row],[ Quantity Used]])</f>
        <v/>
      </c>
    </row>
    <row r="337" spans="1:5" x14ac:dyDescent="0.3">
      <c r="A337" s="8"/>
      <c r="B337" s="8"/>
      <c r="C337" s="18" t="str">
        <f>IF(A337="","",
    SUMIFS(SupplierX!D$6:D$452, SupplierX!C$6:C$452, A337, SupplierX!B$6:B$452, "Item Received")
    + SUMIFS(SupplierY!D$6:D$452, SupplierY!C$6:C$452, A337, SupplierY!B$6:B$452, "Item Received")
)</f>
        <v/>
      </c>
      <c r="D337" s="8"/>
      <c r="E337" s="13" t="str">
        <f>IF(Inventory[[#This Row],[Item]]="","",Inventory[[#This Row],[ Opening Stock]]+Inventory[[#This Row],[ Quantity Received]]-Inventory[[#This Row],[ Quantity Used]])</f>
        <v/>
      </c>
    </row>
    <row r="338" spans="1:5" x14ac:dyDescent="0.3">
      <c r="A338" s="8"/>
      <c r="B338" s="8"/>
      <c r="C338" s="18" t="str">
        <f>IF(A338="","",
    SUMIFS(SupplierX!D$6:D$452, SupplierX!C$6:C$452, A338, SupplierX!B$6:B$452, "Item Received")
    + SUMIFS(SupplierY!D$6:D$452, SupplierY!C$6:C$452, A338, SupplierY!B$6:B$452, "Item Received")
)</f>
        <v/>
      </c>
      <c r="D338" s="8"/>
      <c r="E338" s="13" t="str">
        <f>IF(Inventory[[#This Row],[Item]]="","",Inventory[[#This Row],[ Opening Stock]]+Inventory[[#This Row],[ Quantity Received]]-Inventory[[#This Row],[ Quantity Used]])</f>
        <v/>
      </c>
    </row>
    <row r="339" spans="1:5" x14ac:dyDescent="0.3">
      <c r="A339" s="8"/>
      <c r="B339" s="8"/>
      <c r="C339" s="18" t="str">
        <f>IF(A339="","",
    SUMIFS(SupplierX!D$6:D$452, SupplierX!C$6:C$452, A339, SupplierX!B$6:B$452, "Item Received")
    + SUMIFS(SupplierY!D$6:D$452, SupplierY!C$6:C$452, A339, SupplierY!B$6:B$452, "Item Received")
)</f>
        <v/>
      </c>
      <c r="D339" s="8"/>
      <c r="E339" s="13" t="str">
        <f>IF(Inventory[[#This Row],[Item]]="","",Inventory[[#This Row],[ Opening Stock]]+Inventory[[#This Row],[ Quantity Received]]-Inventory[[#This Row],[ Quantity Used]])</f>
        <v/>
      </c>
    </row>
    <row r="340" spans="1:5" x14ac:dyDescent="0.3">
      <c r="A340" s="8"/>
      <c r="B340" s="8"/>
      <c r="C340" s="18" t="str">
        <f>IF(A340="","",
    SUMIFS(SupplierX!D$6:D$452, SupplierX!C$6:C$452, A340, SupplierX!B$6:B$452, "Item Received")
    + SUMIFS(SupplierY!D$6:D$452, SupplierY!C$6:C$452, A340, SupplierY!B$6:B$452, "Item Received")
)</f>
        <v/>
      </c>
      <c r="D340" s="8"/>
      <c r="E340" s="13" t="str">
        <f>IF(Inventory[[#This Row],[Item]]="","",Inventory[[#This Row],[ Opening Stock]]+Inventory[[#This Row],[ Quantity Received]]-Inventory[[#This Row],[ Quantity Used]])</f>
        <v/>
      </c>
    </row>
    <row r="341" spans="1:5" x14ac:dyDescent="0.3">
      <c r="A341" s="8"/>
      <c r="B341" s="8"/>
      <c r="C341" s="18" t="str">
        <f>IF(A341="","",
    SUMIFS(SupplierX!D$6:D$452, SupplierX!C$6:C$452, A341, SupplierX!B$6:B$452, "Item Received")
    + SUMIFS(SupplierY!D$6:D$452, SupplierY!C$6:C$452, A341, SupplierY!B$6:B$452, "Item Received")
)</f>
        <v/>
      </c>
      <c r="D341" s="8"/>
      <c r="E341" s="13" t="str">
        <f>IF(Inventory[[#This Row],[Item]]="","",Inventory[[#This Row],[ Opening Stock]]+Inventory[[#This Row],[ Quantity Received]]-Inventory[[#This Row],[ Quantity Used]])</f>
        <v/>
      </c>
    </row>
    <row r="342" spans="1:5" x14ac:dyDescent="0.3">
      <c r="A342" s="8"/>
      <c r="B342" s="8"/>
      <c r="C342" s="18" t="str">
        <f>IF(A342="","",
    SUMIFS(SupplierX!D$6:D$452, SupplierX!C$6:C$452, A342, SupplierX!B$6:B$452, "Item Received")
    + SUMIFS(SupplierY!D$6:D$452, SupplierY!C$6:C$452, A342, SupplierY!B$6:B$452, "Item Received")
)</f>
        <v/>
      </c>
      <c r="D342" s="8"/>
      <c r="E342" s="13" t="str">
        <f>IF(Inventory[[#This Row],[Item]]="","",Inventory[[#This Row],[ Opening Stock]]+Inventory[[#This Row],[ Quantity Received]]-Inventory[[#This Row],[ Quantity Used]])</f>
        <v/>
      </c>
    </row>
    <row r="343" spans="1:5" x14ac:dyDescent="0.3">
      <c r="A343" s="8"/>
      <c r="B343" s="8"/>
      <c r="C343" s="18" t="str">
        <f>IF(A343="","",
    SUMIFS(SupplierX!D$6:D$452, SupplierX!C$6:C$452, A343, SupplierX!B$6:B$452, "Item Received")
    + SUMIFS(SupplierY!D$6:D$452, SupplierY!C$6:C$452, A343, SupplierY!B$6:B$452, "Item Received")
)</f>
        <v/>
      </c>
      <c r="D343" s="8"/>
      <c r="E343" s="13" t="str">
        <f>IF(Inventory[[#This Row],[Item]]="","",Inventory[[#This Row],[ Opening Stock]]+Inventory[[#This Row],[ Quantity Received]]-Inventory[[#This Row],[ Quantity Used]])</f>
        <v/>
      </c>
    </row>
    <row r="344" spans="1:5" x14ac:dyDescent="0.3">
      <c r="A344" s="8"/>
      <c r="B344" s="8"/>
      <c r="C344" s="18" t="str">
        <f>IF(A344="","",
    SUMIFS(SupplierX!D$6:D$452, SupplierX!C$6:C$452, A344, SupplierX!B$6:B$452, "Item Received")
    + SUMIFS(SupplierY!D$6:D$452, SupplierY!C$6:C$452, A344, SupplierY!B$6:B$452, "Item Received")
)</f>
        <v/>
      </c>
      <c r="D344" s="8"/>
      <c r="E344" s="13" t="str">
        <f>IF(Inventory[[#This Row],[Item]]="","",Inventory[[#This Row],[ Opening Stock]]+Inventory[[#This Row],[ Quantity Received]]-Inventory[[#This Row],[ Quantity Used]])</f>
        <v/>
      </c>
    </row>
    <row r="345" spans="1:5" x14ac:dyDescent="0.3">
      <c r="A345" s="8"/>
      <c r="B345" s="8"/>
      <c r="C345" s="18" t="str">
        <f>IF(A345="","",
    SUMIFS(SupplierX!D$6:D$452, SupplierX!C$6:C$452, A345, SupplierX!B$6:B$452, "Item Received")
    + SUMIFS(SupplierY!D$6:D$452, SupplierY!C$6:C$452, A345, SupplierY!B$6:B$452, "Item Received")
)</f>
        <v/>
      </c>
      <c r="D345" s="8"/>
      <c r="E345" s="13" t="str">
        <f>IF(Inventory[[#This Row],[Item]]="","",Inventory[[#This Row],[ Opening Stock]]+Inventory[[#This Row],[ Quantity Received]]-Inventory[[#This Row],[ Quantity Used]])</f>
        <v/>
      </c>
    </row>
    <row r="346" spans="1:5" x14ac:dyDescent="0.3">
      <c r="A346" s="8"/>
      <c r="B346" s="8"/>
      <c r="C346" s="18" t="str">
        <f>IF(A346="","",
    SUMIFS(SupplierX!D$6:D$452, SupplierX!C$6:C$452, A346, SupplierX!B$6:B$452, "Item Received")
    + SUMIFS(SupplierY!D$6:D$452, SupplierY!C$6:C$452, A346, SupplierY!B$6:B$452, "Item Received")
)</f>
        <v/>
      </c>
      <c r="D346" s="8"/>
      <c r="E346" s="13" t="str">
        <f>IF(Inventory[[#This Row],[Item]]="","",Inventory[[#This Row],[ Opening Stock]]+Inventory[[#This Row],[ Quantity Received]]-Inventory[[#This Row],[ Quantity Used]])</f>
        <v/>
      </c>
    </row>
    <row r="347" spans="1:5" x14ac:dyDescent="0.3">
      <c r="A347" s="8"/>
      <c r="B347" s="8"/>
      <c r="C347" s="18" t="str">
        <f>IF(A347="","",
    SUMIFS(SupplierX!D$6:D$452, SupplierX!C$6:C$452, A347, SupplierX!B$6:B$452, "Item Received")
    + SUMIFS(SupplierY!D$6:D$452, SupplierY!C$6:C$452, A347, SupplierY!B$6:B$452, "Item Received")
)</f>
        <v/>
      </c>
      <c r="D347" s="8"/>
      <c r="E347" s="13" t="str">
        <f>IF(Inventory[[#This Row],[Item]]="","",Inventory[[#This Row],[ Opening Stock]]+Inventory[[#This Row],[ Quantity Received]]-Inventory[[#This Row],[ Quantity Used]])</f>
        <v/>
      </c>
    </row>
    <row r="348" spans="1:5" x14ac:dyDescent="0.3">
      <c r="A348" s="8"/>
      <c r="B348" s="8"/>
      <c r="C348" s="18" t="str">
        <f>IF(A348="","",
    SUMIFS(SupplierX!D$6:D$452, SupplierX!C$6:C$452, A348, SupplierX!B$6:B$452, "Item Received")
    + SUMIFS(SupplierY!D$6:D$452, SupplierY!C$6:C$452, A348, SupplierY!B$6:B$452, "Item Received")
)</f>
        <v/>
      </c>
      <c r="D348" s="8"/>
      <c r="E348" s="13" t="str">
        <f>IF(Inventory[[#This Row],[Item]]="","",Inventory[[#This Row],[ Opening Stock]]+Inventory[[#This Row],[ Quantity Received]]-Inventory[[#This Row],[ Quantity Used]])</f>
        <v/>
      </c>
    </row>
    <row r="349" spans="1:5" x14ac:dyDescent="0.3">
      <c r="A349" s="8"/>
      <c r="B349" s="8"/>
      <c r="C349" s="18" t="str">
        <f>IF(A349="","",
    SUMIFS(SupplierX!D$6:D$452, SupplierX!C$6:C$452, A349, SupplierX!B$6:B$452, "Item Received")
    + SUMIFS(SupplierY!D$6:D$452, SupplierY!C$6:C$452, A349, SupplierY!B$6:B$452, "Item Received")
)</f>
        <v/>
      </c>
      <c r="D349" s="8"/>
      <c r="E349" s="13" t="str">
        <f>IF(Inventory[[#This Row],[Item]]="","",Inventory[[#This Row],[ Opening Stock]]+Inventory[[#This Row],[ Quantity Received]]-Inventory[[#This Row],[ Quantity Used]])</f>
        <v/>
      </c>
    </row>
    <row r="350" spans="1:5" x14ac:dyDescent="0.3">
      <c r="A350" s="8"/>
      <c r="B350" s="8"/>
      <c r="C350" s="18" t="str">
        <f>IF(A350="","",
    SUMIFS(SupplierX!D$6:D$452, SupplierX!C$6:C$452, A350, SupplierX!B$6:B$452, "Item Received")
    + SUMIFS(SupplierY!D$6:D$452, SupplierY!C$6:C$452, A350, SupplierY!B$6:B$452, "Item Received")
)</f>
        <v/>
      </c>
      <c r="D350" s="8"/>
      <c r="E350" s="13" t="str">
        <f>IF(Inventory[[#This Row],[Item]]="","",Inventory[[#This Row],[ Opening Stock]]+Inventory[[#This Row],[ Quantity Received]]-Inventory[[#This Row],[ Quantity Used]])</f>
        <v/>
      </c>
    </row>
    <row r="351" spans="1:5" x14ac:dyDescent="0.3">
      <c r="A351" s="8"/>
      <c r="B351" s="8"/>
      <c r="C351" s="18" t="str">
        <f>IF(A351="","",
    SUMIFS(SupplierX!D$6:D$452, SupplierX!C$6:C$452, A351, SupplierX!B$6:B$452, "Item Received")
    + SUMIFS(SupplierY!D$6:D$452, SupplierY!C$6:C$452, A351, SupplierY!B$6:B$452, "Item Received")
)</f>
        <v/>
      </c>
      <c r="D351" s="8"/>
      <c r="E351" s="13" t="str">
        <f>IF(Inventory[[#This Row],[Item]]="","",Inventory[[#This Row],[ Opening Stock]]+Inventory[[#This Row],[ Quantity Received]]-Inventory[[#This Row],[ Quantity Used]])</f>
        <v/>
      </c>
    </row>
    <row r="352" spans="1:5" x14ac:dyDescent="0.3">
      <c r="A352" s="8"/>
      <c r="B352" s="8"/>
      <c r="C352" s="18" t="str">
        <f>IF(A352="","",
    SUMIFS(SupplierX!D$6:D$452, SupplierX!C$6:C$452, A352, SupplierX!B$6:B$452, "Item Received")
    + SUMIFS(SupplierY!D$6:D$452, SupplierY!C$6:C$452, A352, SupplierY!B$6:B$452, "Item Received")
)</f>
        <v/>
      </c>
      <c r="D352" s="8"/>
      <c r="E352" s="13" t="str">
        <f>IF(Inventory[[#This Row],[Item]]="","",Inventory[[#This Row],[ Opening Stock]]+Inventory[[#This Row],[ Quantity Received]]-Inventory[[#This Row],[ Quantity Used]])</f>
        <v/>
      </c>
    </row>
    <row r="353" spans="1:5" x14ac:dyDescent="0.3">
      <c r="A353" s="8"/>
      <c r="B353" s="8"/>
      <c r="C353" s="18" t="str">
        <f>IF(A353="","",
    SUMIFS(SupplierX!D$6:D$452, SupplierX!C$6:C$452, A353, SupplierX!B$6:B$452, "Item Received")
    + SUMIFS(SupplierY!D$6:D$452, SupplierY!C$6:C$452, A353, SupplierY!B$6:B$452, "Item Received")
)</f>
        <v/>
      </c>
      <c r="D353" s="8"/>
      <c r="E353" s="13" t="str">
        <f>IF(Inventory[[#This Row],[Item]]="","",Inventory[[#This Row],[ Opening Stock]]+Inventory[[#This Row],[ Quantity Received]]-Inventory[[#This Row],[ Quantity Used]])</f>
        <v/>
      </c>
    </row>
    <row r="354" spans="1:5" x14ac:dyDescent="0.3">
      <c r="A354" s="8"/>
      <c r="B354" s="8"/>
      <c r="C354" s="18" t="str">
        <f>IF(A354="","",
    SUMIFS(SupplierX!D$6:D$452, SupplierX!C$6:C$452, A354, SupplierX!B$6:B$452, "Item Received")
    + SUMIFS(SupplierY!D$6:D$452, SupplierY!C$6:C$452, A354, SupplierY!B$6:B$452, "Item Received")
)</f>
        <v/>
      </c>
      <c r="D354" s="8"/>
      <c r="E354" s="13" t="str">
        <f>IF(Inventory[[#This Row],[Item]]="","",Inventory[[#This Row],[ Opening Stock]]+Inventory[[#This Row],[ Quantity Received]]-Inventory[[#This Row],[ Quantity Used]])</f>
        <v/>
      </c>
    </row>
    <row r="355" spans="1:5" x14ac:dyDescent="0.3">
      <c r="A355" s="8"/>
      <c r="B355" s="8"/>
      <c r="C355" s="18" t="str">
        <f>IF(A355="","",
    SUMIFS(SupplierX!D$6:D$452, SupplierX!C$6:C$452, A355, SupplierX!B$6:B$452, "Item Received")
    + SUMIFS(SupplierY!D$6:D$452, SupplierY!C$6:C$452, A355, SupplierY!B$6:B$452, "Item Received")
)</f>
        <v/>
      </c>
      <c r="D355" s="8"/>
      <c r="E355" s="13" t="str">
        <f>IF(Inventory[[#This Row],[Item]]="","",Inventory[[#This Row],[ Opening Stock]]+Inventory[[#This Row],[ Quantity Received]]-Inventory[[#This Row],[ Quantity Used]])</f>
        <v/>
      </c>
    </row>
    <row r="356" spans="1:5" x14ac:dyDescent="0.3">
      <c r="A356" s="8"/>
      <c r="B356" s="8"/>
      <c r="C356" s="18" t="str">
        <f>IF(A356="","",
    SUMIFS(SupplierX!D$6:D$452, SupplierX!C$6:C$452, A356, SupplierX!B$6:B$452, "Item Received")
    + SUMIFS(SupplierY!D$6:D$452, SupplierY!C$6:C$452, A356, SupplierY!B$6:B$452, "Item Received")
)</f>
        <v/>
      </c>
      <c r="D356" s="8"/>
      <c r="E356" s="13" t="str">
        <f>IF(Inventory[[#This Row],[Item]]="","",Inventory[[#This Row],[ Opening Stock]]+Inventory[[#This Row],[ Quantity Received]]-Inventory[[#This Row],[ Quantity Used]])</f>
        <v/>
      </c>
    </row>
    <row r="357" spans="1:5" x14ac:dyDescent="0.3">
      <c r="A357" s="8"/>
      <c r="B357" s="8"/>
      <c r="C357" s="18" t="str">
        <f>IF(A357="","",
    SUMIFS(SupplierX!D$6:D$452, SupplierX!C$6:C$452, A357, SupplierX!B$6:B$452, "Item Received")
    + SUMIFS(SupplierY!D$6:D$452, SupplierY!C$6:C$452, A357, SupplierY!B$6:B$452, "Item Received")
)</f>
        <v/>
      </c>
      <c r="D357" s="8"/>
      <c r="E357" s="13" t="str">
        <f>IF(Inventory[[#This Row],[Item]]="","",Inventory[[#This Row],[ Opening Stock]]+Inventory[[#This Row],[ Quantity Received]]-Inventory[[#This Row],[ Quantity Used]])</f>
        <v/>
      </c>
    </row>
    <row r="358" spans="1:5" x14ac:dyDescent="0.3">
      <c r="A358" s="8"/>
      <c r="B358" s="8"/>
      <c r="C358" s="18" t="str">
        <f>IF(A358="","",
    SUMIFS(SupplierX!D$6:D$452, SupplierX!C$6:C$452, A358, SupplierX!B$6:B$452, "Item Received")
    + SUMIFS(SupplierY!D$6:D$452, SupplierY!C$6:C$452, A358, SupplierY!B$6:B$452, "Item Received")
)</f>
        <v/>
      </c>
      <c r="D358" s="8"/>
      <c r="E358" s="13" t="str">
        <f>IF(Inventory[[#This Row],[Item]]="","",Inventory[[#This Row],[ Opening Stock]]+Inventory[[#This Row],[ Quantity Received]]-Inventory[[#This Row],[ Quantity Used]])</f>
        <v/>
      </c>
    </row>
    <row r="359" spans="1:5" x14ac:dyDescent="0.3">
      <c r="A359" s="8"/>
      <c r="B359" s="8"/>
      <c r="C359" s="18" t="str">
        <f>IF(A359="","",
    SUMIFS(SupplierX!D$6:D$452, SupplierX!C$6:C$452, A359, SupplierX!B$6:B$452, "Item Received")
    + SUMIFS(SupplierY!D$6:D$452, SupplierY!C$6:C$452, A359, SupplierY!B$6:B$452, "Item Received")
)</f>
        <v/>
      </c>
      <c r="D359" s="8"/>
      <c r="E359" s="13" t="str">
        <f>IF(Inventory[[#This Row],[Item]]="","",Inventory[[#This Row],[ Opening Stock]]+Inventory[[#This Row],[ Quantity Received]]-Inventory[[#This Row],[ Quantity Used]])</f>
        <v/>
      </c>
    </row>
    <row r="360" spans="1:5" x14ac:dyDescent="0.3">
      <c r="A360" s="8"/>
      <c r="B360" s="8"/>
      <c r="C360" s="18" t="str">
        <f>IF(A360="","",
    SUMIFS(SupplierX!D$6:D$452, SupplierX!C$6:C$452, A360, SupplierX!B$6:B$452, "Item Received")
    + SUMIFS(SupplierY!D$6:D$452, SupplierY!C$6:C$452, A360, SupplierY!B$6:B$452, "Item Received")
)</f>
        <v/>
      </c>
      <c r="D360" s="8"/>
      <c r="E360" s="13" t="str">
        <f>IF(Inventory[[#This Row],[Item]]="","",Inventory[[#This Row],[ Opening Stock]]+Inventory[[#This Row],[ Quantity Received]]-Inventory[[#This Row],[ Quantity Used]])</f>
        <v/>
      </c>
    </row>
    <row r="361" spans="1:5" x14ac:dyDescent="0.3">
      <c r="A361" s="8"/>
      <c r="B361" s="8"/>
      <c r="C361" s="18" t="str">
        <f>IF(A361="","",
    SUMIFS(SupplierX!D$6:D$452, SupplierX!C$6:C$452, A361, SupplierX!B$6:B$452, "Item Received")
    + SUMIFS(SupplierY!D$6:D$452, SupplierY!C$6:C$452, A361, SupplierY!B$6:B$452, "Item Received")
)</f>
        <v/>
      </c>
      <c r="D361" s="8"/>
      <c r="E361" s="13" t="str">
        <f>IF(Inventory[[#This Row],[Item]]="","",Inventory[[#This Row],[ Opening Stock]]+Inventory[[#This Row],[ Quantity Received]]-Inventory[[#This Row],[ Quantity Used]])</f>
        <v/>
      </c>
    </row>
    <row r="362" spans="1:5" x14ac:dyDescent="0.3">
      <c r="A362" s="8"/>
      <c r="B362" s="8"/>
      <c r="C362" s="18" t="str">
        <f>IF(A362="","",
    SUMIFS(SupplierX!D$6:D$452, SupplierX!C$6:C$452, A362, SupplierX!B$6:B$452, "Item Received")
    + SUMIFS(SupplierY!D$6:D$452, SupplierY!C$6:C$452, A362, SupplierY!B$6:B$452, "Item Received")
)</f>
        <v/>
      </c>
      <c r="D362" s="8"/>
      <c r="E362" s="13" t="str">
        <f>IF(Inventory[[#This Row],[Item]]="","",Inventory[[#This Row],[ Opening Stock]]+Inventory[[#This Row],[ Quantity Received]]-Inventory[[#This Row],[ Quantity Used]])</f>
        <v/>
      </c>
    </row>
    <row r="363" spans="1:5" x14ac:dyDescent="0.3">
      <c r="A363" s="8"/>
      <c r="B363" s="8"/>
      <c r="C363" s="18" t="str">
        <f>IF(A363="","",
    SUMIFS(SupplierX!D$6:D$452, SupplierX!C$6:C$452, A363, SupplierX!B$6:B$452, "Item Received")
    + SUMIFS(SupplierY!D$6:D$452, SupplierY!C$6:C$452, A363, SupplierY!B$6:B$452, "Item Received")
)</f>
        <v/>
      </c>
      <c r="D363" s="8"/>
      <c r="E363" s="13" t="str">
        <f>IF(Inventory[[#This Row],[Item]]="","",Inventory[[#This Row],[ Opening Stock]]+Inventory[[#This Row],[ Quantity Received]]-Inventory[[#This Row],[ Quantity Used]])</f>
        <v/>
      </c>
    </row>
    <row r="364" spans="1:5" x14ac:dyDescent="0.3">
      <c r="A364" s="8"/>
      <c r="B364" s="8"/>
      <c r="C364" s="18" t="str">
        <f>IF(A364="","",
    SUMIFS(SupplierX!D$6:D$452, SupplierX!C$6:C$452, A364, SupplierX!B$6:B$452, "Item Received")
    + SUMIFS(SupplierY!D$6:D$452, SupplierY!C$6:C$452, A364, SupplierY!B$6:B$452, "Item Received")
)</f>
        <v/>
      </c>
      <c r="D364" s="8"/>
      <c r="E364" s="13" t="str">
        <f>IF(Inventory[[#This Row],[Item]]="","",Inventory[[#This Row],[ Opening Stock]]+Inventory[[#This Row],[ Quantity Received]]-Inventory[[#This Row],[ Quantity Used]])</f>
        <v/>
      </c>
    </row>
    <row r="365" spans="1:5" x14ac:dyDescent="0.3">
      <c r="A365" s="8"/>
      <c r="B365" s="8"/>
      <c r="C365" s="18" t="str">
        <f>IF(A365="","",
    SUMIFS(SupplierX!D$6:D$452, SupplierX!C$6:C$452, A365, SupplierX!B$6:B$452, "Item Received")
    + SUMIFS(SupplierY!D$6:D$452, SupplierY!C$6:C$452, A365, SupplierY!B$6:B$452, "Item Received")
)</f>
        <v/>
      </c>
      <c r="D365" s="8"/>
      <c r="E365" s="13" t="str">
        <f>IF(Inventory[[#This Row],[Item]]="","",Inventory[[#This Row],[ Opening Stock]]+Inventory[[#This Row],[ Quantity Received]]-Inventory[[#This Row],[ Quantity Used]])</f>
        <v/>
      </c>
    </row>
    <row r="366" spans="1:5" x14ac:dyDescent="0.3">
      <c r="A366" s="8"/>
      <c r="B366" s="8"/>
      <c r="C366" s="18" t="str">
        <f>IF(A366="","",
    SUMIFS(SupplierX!D$6:D$452, SupplierX!C$6:C$452, A366, SupplierX!B$6:B$452, "Item Received")
    + SUMIFS(SupplierY!D$6:D$452, SupplierY!C$6:C$452, A366, SupplierY!B$6:B$452, "Item Received")
)</f>
        <v/>
      </c>
      <c r="D366" s="8"/>
      <c r="E366" s="13" t="str">
        <f>IF(Inventory[[#This Row],[Item]]="","",Inventory[[#This Row],[ Opening Stock]]+Inventory[[#This Row],[ Quantity Received]]-Inventory[[#This Row],[ Quantity Used]])</f>
        <v/>
      </c>
    </row>
    <row r="367" spans="1:5" x14ac:dyDescent="0.3">
      <c r="A367" s="8"/>
      <c r="B367" s="8"/>
      <c r="C367" s="18" t="str">
        <f>IF(A367="","",
    SUMIFS(SupplierX!D$6:D$452, SupplierX!C$6:C$452, A367, SupplierX!B$6:B$452, "Item Received")
    + SUMIFS(SupplierY!D$6:D$452, SupplierY!C$6:C$452, A367, SupplierY!B$6:B$452, "Item Received")
)</f>
        <v/>
      </c>
      <c r="D367" s="8"/>
      <c r="E367" s="13" t="str">
        <f>IF(Inventory[[#This Row],[Item]]="","",Inventory[[#This Row],[ Opening Stock]]+Inventory[[#This Row],[ Quantity Received]]-Inventory[[#This Row],[ Quantity Used]])</f>
        <v/>
      </c>
    </row>
    <row r="368" spans="1:5" x14ac:dyDescent="0.3">
      <c r="A368" s="8"/>
      <c r="B368" s="8"/>
      <c r="C368" s="18" t="str">
        <f>IF(A368="","",
    SUMIFS(SupplierX!D$6:D$452, SupplierX!C$6:C$452, A368, SupplierX!B$6:B$452, "Item Received")
    + SUMIFS(SupplierY!D$6:D$452, SupplierY!C$6:C$452, A368, SupplierY!B$6:B$452, "Item Received")
)</f>
        <v/>
      </c>
      <c r="D368" s="8"/>
      <c r="E368" s="13" t="str">
        <f>IF(Inventory[[#This Row],[Item]]="","",Inventory[[#This Row],[ Opening Stock]]+Inventory[[#This Row],[ Quantity Received]]-Inventory[[#This Row],[ Quantity Used]])</f>
        <v/>
      </c>
    </row>
    <row r="369" spans="1:5" x14ac:dyDescent="0.3">
      <c r="A369" s="8"/>
      <c r="B369" s="8"/>
      <c r="C369" s="18" t="str">
        <f>IF(A369="","",
    SUMIFS(SupplierX!D$6:D$452, SupplierX!C$6:C$452, A369, SupplierX!B$6:B$452, "Item Received")
    + SUMIFS(SupplierY!D$6:D$452, SupplierY!C$6:C$452, A369, SupplierY!B$6:B$452, "Item Received")
)</f>
        <v/>
      </c>
      <c r="D369" s="8"/>
      <c r="E369" s="13" t="str">
        <f>IF(Inventory[[#This Row],[Item]]="","",Inventory[[#This Row],[ Opening Stock]]+Inventory[[#This Row],[ Quantity Received]]-Inventory[[#This Row],[ Quantity Used]])</f>
        <v/>
      </c>
    </row>
    <row r="370" spans="1:5" x14ac:dyDescent="0.3">
      <c r="A370" s="8"/>
      <c r="B370" s="8"/>
      <c r="C370" s="18" t="str">
        <f>IF(A370="","",
    SUMIFS(SupplierX!D$6:D$452, SupplierX!C$6:C$452, A370, SupplierX!B$6:B$452, "Item Received")
    + SUMIFS(SupplierY!D$6:D$452, SupplierY!C$6:C$452, A370, SupplierY!B$6:B$452, "Item Received")
)</f>
        <v/>
      </c>
      <c r="D370" s="8"/>
      <c r="E370" s="13" t="str">
        <f>IF(Inventory[[#This Row],[Item]]="","",Inventory[[#This Row],[ Opening Stock]]+Inventory[[#This Row],[ Quantity Received]]-Inventory[[#This Row],[ Quantity Used]])</f>
        <v/>
      </c>
    </row>
    <row r="371" spans="1:5" x14ac:dyDescent="0.3">
      <c r="A371" s="8"/>
      <c r="B371" s="8"/>
      <c r="C371" s="18" t="str">
        <f>IF(A371="","",
    SUMIFS(SupplierX!D$6:D$452, SupplierX!C$6:C$452, A371, SupplierX!B$6:B$452, "Item Received")
    + SUMIFS(SupplierY!D$6:D$452, SupplierY!C$6:C$452, A371, SupplierY!B$6:B$452, "Item Received")
)</f>
        <v/>
      </c>
      <c r="D371" s="8"/>
      <c r="E371" s="13" t="str">
        <f>IF(Inventory[[#This Row],[Item]]="","",Inventory[[#This Row],[ Opening Stock]]+Inventory[[#This Row],[ Quantity Received]]-Inventory[[#This Row],[ Quantity Used]])</f>
        <v/>
      </c>
    </row>
    <row r="372" spans="1:5" x14ac:dyDescent="0.3">
      <c r="A372" s="8"/>
      <c r="B372" s="8"/>
      <c r="C372" s="18" t="str">
        <f>IF(A372="","",
    SUMIFS(SupplierX!D$6:D$452, SupplierX!C$6:C$452, A372, SupplierX!B$6:B$452, "Item Received")
    + SUMIFS(SupplierY!D$6:D$452, SupplierY!C$6:C$452, A372, SupplierY!B$6:B$452, "Item Received")
)</f>
        <v/>
      </c>
      <c r="D372" s="8"/>
      <c r="E372" s="13" t="str">
        <f>IF(Inventory[[#This Row],[Item]]="","",Inventory[[#This Row],[ Opening Stock]]+Inventory[[#This Row],[ Quantity Received]]-Inventory[[#This Row],[ Quantity Used]])</f>
        <v/>
      </c>
    </row>
    <row r="373" spans="1:5" x14ac:dyDescent="0.3">
      <c r="A373" s="8"/>
      <c r="B373" s="8"/>
      <c r="C373" s="18" t="str">
        <f>IF(A373="","",
    SUMIFS(SupplierX!D$6:D$452, SupplierX!C$6:C$452, A373, SupplierX!B$6:B$452, "Item Received")
    + SUMIFS(SupplierY!D$6:D$452, SupplierY!C$6:C$452, A373, SupplierY!B$6:B$452, "Item Received")
)</f>
        <v/>
      </c>
      <c r="D373" s="8"/>
      <c r="E373" s="13" t="str">
        <f>IF(Inventory[[#This Row],[Item]]="","",Inventory[[#This Row],[ Opening Stock]]+Inventory[[#This Row],[ Quantity Received]]-Inventory[[#This Row],[ Quantity Used]])</f>
        <v/>
      </c>
    </row>
    <row r="374" spans="1:5" x14ac:dyDescent="0.3">
      <c r="A374" s="8"/>
      <c r="B374" s="8"/>
      <c r="C374" s="18" t="str">
        <f>IF(A374="","",
    SUMIFS(SupplierX!D$6:D$452, SupplierX!C$6:C$452, A374, SupplierX!B$6:B$452, "Item Received")
    + SUMIFS(SupplierY!D$6:D$452, SupplierY!C$6:C$452, A374, SupplierY!B$6:B$452, "Item Received")
)</f>
        <v/>
      </c>
      <c r="D374" s="8"/>
      <c r="E374" s="13" t="str">
        <f>IF(Inventory[[#This Row],[Item]]="","",Inventory[[#This Row],[ Opening Stock]]+Inventory[[#This Row],[ Quantity Received]]-Inventory[[#This Row],[ Quantity Used]])</f>
        <v/>
      </c>
    </row>
    <row r="375" spans="1:5" x14ac:dyDescent="0.3">
      <c r="A375" s="8"/>
      <c r="B375" s="8"/>
      <c r="C375" s="18" t="str">
        <f>IF(A375="","",
    SUMIFS(SupplierX!D$6:D$452, SupplierX!C$6:C$452, A375, SupplierX!B$6:B$452, "Item Received")
    + SUMIFS(SupplierY!D$6:D$452, SupplierY!C$6:C$452, A375, SupplierY!B$6:B$452, "Item Received")
)</f>
        <v/>
      </c>
      <c r="D375" s="8"/>
      <c r="E375" s="13" t="str">
        <f>IF(Inventory[[#This Row],[Item]]="","",Inventory[[#This Row],[ Opening Stock]]+Inventory[[#This Row],[ Quantity Received]]-Inventory[[#This Row],[ Quantity Used]])</f>
        <v/>
      </c>
    </row>
    <row r="376" spans="1:5" x14ac:dyDescent="0.3">
      <c r="A376" s="8"/>
      <c r="B376" s="8"/>
      <c r="C376" s="18" t="str">
        <f>IF(A376="","",
    SUMIFS(SupplierX!D$6:D$452, SupplierX!C$6:C$452, A376, SupplierX!B$6:B$452, "Item Received")
    + SUMIFS(SupplierY!D$6:D$452, SupplierY!C$6:C$452, A376, SupplierY!B$6:B$452, "Item Received")
)</f>
        <v/>
      </c>
      <c r="D376" s="8"/>
      <c r="E376" s="13" t="str">
        <f>IF(Inventory[[#This Row],[Item]]="","",Inventory[[#This Row],[ Opening Stock]]+Inventory[[#This Row],[ Quantity Received]]-Inventory[[#This Row],[ Quantity Used]])</f>
        <v/>
      </c>
    </row>
    <row r="377" spans="1:5" x14ac:dyDescent="0.3">
      <c r="A377" s="8"/>
      <c r="B377" s="8"/>
      <c r="C377" s="18" t="str">
        <f>IF(A377="","",
    SUMIFS(SupplierX!D$6:D$452, SupplierX!C$6:C$452, A377, SupplierX!B$6:B$452, "Item Received")
    + SUMIFS(SupplierY!D$6:D$452, SupplierY!C$6:C$452, A377, SupplierY!B$6:B$452, "Item Received")
)</f>
        <v/>
      </c>
      <c r="D377" s="8"/>
      <c r="E377" s="13" t="str">
        <f>IF(Inventory[[#This Row],[Item]]="","",Inventory[[#This Row],[ Opening Stock]]+Inventory[[#This Row],[ Quantity Received]]-Inventory[[#This Row],[ Quantity Used]])</f>
        <v/>
      </c>
    </row>
    <row r="378" spans="1:5" x14ac:dyDescent="0.3">
      <c r="A378" s="8"/>
      <c r="B378" s="8"/>
      <c r="C378" s="18" t="str">
        <f>IF(A378="","",
    SUMIFS(SupplierX!D$6:D$452, SupplierX!C$6:C$452, A378, SupplierX!B$6:B$452, "Item Received")
    + SUMIFS(SupplierY!D$6:D$452, SupplierY!C$6:C$452, A378, SupplierY!B$6:B$452, "Item Received")
)</f>
        <v/>
      </c>
      <c r="D378" s="8"/>
      <c r="E378" s="13" t="str">
        <f>IF(Inventory[[#This Row],[Item]]="","",Inventory[[#This Row],[ Opening Stock]]+Inventory[[#This Row],[ Quantity Received]]-Inventory[[#This Row],[ Quantity Used]])</f>
        <v/>
      </c>
    </row>
    <row r="379" spans="1:5" x14ac:dyDescent="0.3">
      <c r="A379" s="8"/>
      <c r="B379" s="8"/>
      <c r="C379" s="18" t="str">
        <f>IF(A379="","",
    SUMIFS(SupplierX!D$6:D$452, SupplierX!C$6:C$452, A379, SupplierX!B$6:B$452, "Item Received")
    + SUMIFS(SupplierY!D$6:D$452, SupplierY!C$6:C$452, A379, SupplierY!B$6:B$452, "Item Received")
)</f>
        <v/>
      </c>
      <c r="D379" s="8"/>
      <c r="E379" s="13" t="str">
        <f>IF(Inventory[[#This Row],[Item]]="","",Inventory[[#This Row],[ Opening Stock]]+Inventory[[#This Row],[ Quantity Received]]-Inventory[[#This Row],[ Quantity Used]])</f>
        <v/>
      </c>
    </row>
    <row r="380" spans="1:5" x14ac:dyDescent="0.3">
      <c r="A380" s="8"/>
      <c r="B380" s="8"/>
      <c r="C380" s="18" t="str">
        <f>IF(A380="","",
    SUMIFS(SupplierX!D$6:D$452, SupplierX!C$6:C$452, A380, SupplierX!B$6:B$452, "Item Received")
    + SUMIFS(SupplierY!D$6:D$452, SupplierY!C$6:C$452, A380, SupplierY!B$6:B$452, "Item Received")
)</f>
        <v/>
      </c>
      <c r="D380" s="8"/>
      <c r="E380" s="13" t="str">
        <f>IF(Inventory[[#This Row],[Item]]="","",Inventory[[#This Row],[ Opening Stock]]+Inventory[[#This Row],[ Quantity Received]]-Inventory[[#This Row],[ Quantity Used]])</f>
        <v/>
      </c>
    </row>
    <row r="381" spans="1:5" x14ac:dyDescent="0.3">
      <c r="A381" s="8"/>
      <c r="B381" s="8"/>
      <c r="C381" s="18" t="str">
        <f>IF(A381="","",
    SUMIFS(SupplierX!D$6:D$452, SupplierX!C$6:C$452, A381, SupplierX!B$6:B$452, "Item Received")
    + SUMIFS(SupplierY!D$6:D$452, SupplierY!C$6:C$452, A381, SupplierY!B$6:B$452, "Item Received")
)</f>
        <v/>
      </c>
      <c r="D381" s="8"/>
      <c r="E381" s="13" t="str">
        <f>IF(Inventory[[#This Row],[Item]]="","",Inventory[[#This Row],[ Opening Stock]]+Inventory[[#This Row],[ Quantity Received]]-Inventory[[#This Row],[ Quantity Used]])</f>
        <v/>
      </c>
    </row>
    <row r="382" spans="1:5" x14ac:dyDescent="0.3">
      <c r="A382" s="8"/>
      <c r="B382" s="8"/>
      <c r="C382" s="18" t="str">
        <f>IF(A382="","",
    SUMIFS(SupplierX!D$6:D$452, SupplierX!C$6:C$452, A382, SupplierX!B$6:B$452, "Item Received")
    + SUMIFS(SupplierY!D$6:D$452, SupplierY!C$6:C$452, A382, SupplierY!B$6:B$452, "Item Received")
)</f>
        <v/>
      </c>
      <c r="D382" s="8"/>
      <c r="E382" s="13" t="str">
        <f>IF(Inventory[[#This Row],[Item]]="","",Inventory[[#This Row],[ Opening Stock]]+Inventory[[#This Row],[ Quantity Received]]-Inventory[[#This Row],[ Quantity Used]])</f>
        <v/>
      </c>
    </row>
    <row r="383" spans="1:5" x14ac:dyDescent="0.3">
      <c r="A383" s="8"/>
      <c r="B383" s="8"/>
      <c r="C383" s="18" t="str">
        <f>IF(A383="","",
    SUMIFS(SupplierX!D$6:D$452, SupplierX!C$6:C$452, A383, SupplierX!B$6:B$452, "Item Received")
    + SUMIFS(SupplierY!D$6:D$452, SupplierY!C$6:C$452, A383, SupplierY!B$6:B$452, "Item Received")
)</f>
        <v/>
      </c>
      <c r="D383" s="8"/>
      <c r="E383" s="13" t="str">
        <f>IF(Inventory[[#This Row],[Item]]="","",Inventory[[#This Row],[ Opening Stock]]+Inventory[[#This Row],[ Quantity Received]]-Inventory[[#This Row],[ Quantity Used]])</f>
        <v/>
      </c>
    </row>
    <row r="384" spans="1:5" x14ac:dyDescent="0.3">
      <c r="A384" s="8"/>
      <c r="B384" s="8"/>
      <c r="C384" s="18" t="str">
        <f>IF(A384="","",
    SUMIFS(SupplierX!D$6:D$452, SupplierX!C$6:C$452, A384, SupplierX!B$6:B$452, "Item Received")
    + SUMIFS(SupplierY!D$6:D$452, SupplierY!C$6:C$452, A384, SupplierY!B$6:B$452, "Item Received")
)</f>
        <v/>
      </c>
      <c r="D384" s="8"/>
      <c r="E384" s="13" t="str">
        <f>IF(Inventory[[#This Row],[Item]]="","",Inventory[[#This Row],[ Opening Stock]]+Inventory[[#This Row],[ Quantity Received]]-Inventory[[#This Row],[ Quantity Used]])</f>
        <v/>
      </c>
    </row>
    <row r="385" spans="1:5" x14ac:dyDescent="0.3">
      <c r="A385" s="8"/>
      <c r="B385" s="8"/>
      <c r="C385" s="18" t="str">
        <f>IF(A385="","",
    SUMIFS(SupplierX!D$6:D$452, SupplierX!C$6:C$452, A385, SupplierX!B$6:B$452, "Item Received")
    + SUMIFS(SupplierY!D$6:D$452, SupplierY!C$6:C$452, A385, SupplierY!B$6:B$452, "Item Received")
)</f>
        <v/>
      </c>
      <c r="D385" s="8"/>
      <c r="E385" s="13" t="str">
        <f>IF(Inventory[[#This Row],[Item]]="","",Inventory[[#This Row],[ Opening Stock]]+Inventory[[#This Row],[ Quantity Received]]-Inventory[[#This Row],[ Quantity Used]])</f>
        <v/>
      </c>
    </row>
    <row r="386" spans="1:5" x14ac:dyDescent="0.3">
      <c r="A386" s="8"/>
      <c r="B386" s="8"/>
      <c r="C386" s="18" t="str">
        <f>IF(A386="","",
    SUMIFS(SupplierX!D$6:D$452, SupplierX!C$6:C$452, A386, SupplierX!B$6:B$452, "Item Received")
    + SUMIFS(SupplierY!D$6:D$452, SupplierY!C$6:C$452, A386, SupplierY!B$6:B$452, "Item Received")
)</f>
        <v/>
      </c>
      <c r="D386" s="8"/>
      <c r="E386" s="13" t="str">
        <f>IF(Inventory[[#This Row],[Item]]="","",Inventory[[#This Row],[ Opening Stock]]+Inventory[[#This Row],[ Quantity Received]]-Inventory[[#This Row],[ Quantity Used]])</f>
        <v/>
      </c>
    </row>
    <row r="387" spans="1:5" x14ac:dyDescent="0.3">
      <c r="A387" s="8"/>
      <c r="B387" s="8"/>
      <c r="C387" s="18" t="str">
        <f>IF(A387="","",
    SUMIFS(SupplierX!D$6:D$452, SupplierX!C$6:C$452, A387, SupplierX!B$6:B$452, "Item Received")
    + SUMIFS(SupplierY!D$6:D$452, SupplierY!C$6:C$452, A387, SupplierY!B$6:B$452, "Item Received")
)</f>
        <v/>
      </c>
      <c r="D387" s="8"/>
      <c r="E387" s="13" t="str">
        <f>IF(Inventory[[#This Row],[Item]]="","",Inventory[[#This Row],[ Opening Stock]]+Inventory[[#This Row],[ Quantity Received]]-Inventory[[#This Row],[ Quantity Used]])</f>
        <v/>
      </c>
    </row>
    <row r="388" spans="1:5" x14ac:dyDescent="0.3">
      <c r="A388" s="8"/>
      <c r="B388" s="8"/>
      <c r="C388" s="18" t="str">
        <f>IF(A388="","",
    SUMIFS(SupplierX!D$6:D$452, SupplierX!C$6:C$452, A388, SupplierX!B$6:B$452, "Item Received")
    + SUMIFS(SupplierY!D$6:D$452, SupplierY!C$6:C$452, A388, SupplierY!B$6:B$452, "Item Received")
)</f>
        <v/>
      </c>
      <c r="D388" s="8"/>
      <c r="E388" s="13" t="str">
        <f>IF(Inventory[[#This Row],[Item]]="","",Inventory[[#This Row],[ Opening Stock]]+Inventory[[#This Row],[ Quantity Received]]-Inventory[[#This Row],[ Quantity Used]])</f>
        <v/>
      </c>
    </row>
    <row r="389" spans="1:5" x14ac:dyDescent="0.3">
      <c r="A389" s="8"/>
      <c r="B389" s="8"/>
      <c r="C389" s="18" t="str">
        <f>IF(A389="","",
    SUMIFS(SupplierX!D$6:D$452, SupplierX!C$6:C$452, A389, SupplierX!B$6:B$452, "Item Received")
    + SUMIFS(SupplierY!D$6:D$452, SupplierY!C$6:C$452, A389, SupplierY!B$6:B$452, "Item Received")
)</f>
        <v/>
      </c>
      <c r="D389" s="8"/>
      <c r="E389" s="13" t="str">
        <f>IF(Inventory[[#This Row],[Item]]="","",Inventory[[#This Row],[ Opening Stock]]+Inventory[[#This Row],[ Quantity Received]]-Inventory[[#This Row],[ Quantity Used]])</f>
        <v/>
      </c>
    </row>
    <row r="390" spans="1:5" x14ac:dyDescent="0.3">
      <c r="A390" s="8"/>
      <c r="B390" s="8"/>
      <c r="C390" s="18" t="str">
        <f>IF(A390="","",
    SUMIFS(SupplierX!D$6:D$452, SupplierX!C$6:C$452, A390, SupplierX!B$6:B$452, "Item Received")
    + SUMIFS(SupplierY!D$6:D$452, SupplierY!C$6:C$452, A390, SupplierY!B$6:B$452, "Item Received")
)</f>
        <v/>
      </c>
      <c r="D390" s="8"/>
      <c r="E390" s="13" t="str">
        <f>IF(Inventory[[#This Row],[Item]]="","",Inventory[[#This Row],[ Opening Stock]]+Inventory[[#This Row],[ Quantity Received]]-Inventory[[#This Row],[ Quantity Used]])</f>
        <v/>
      </c>
    </row>
    <row r="391" spans="1:5" x14ac:dyDescent="0.3">
      <c r="A391" s="8"/>
      <c r="B391" s="8"/>
      <c r="C391" s="18" t="str">
        <f>IF(A391="","",
    SUMIFS(SupplierX!D$6:D$452, SupplierX!C$6:C$452, A391, SupplierX!B$6:B$452, "Item Received")
    + SUMIFS(SupplierY!D$6:D$452, SupplierY!C$6:C$452, A391, SupplierY!B$6:B$452, "Item Received")
)</f>
        <v/>
      </c>
      <c r="D391" s="8"/>
      <c r="E391" s="13" t="str">
        <f>IF(Inventory[[#This Row],[Item]]="","",Inventory[[#This Row],[ Opening Stock]]+Inventory[[#This Row],[ Quantity Received]]-Inventory[[#This Row],[ Quantity Used]])</f>
        <v/>
      </c>
    </row>
    <row r="392" spans="1:5" x14ac:dyDescent="0.3">
      <c r="A392" s="8"/>
      <c r="B392" s="8"/>
      <c r="C392" s="18" t="str">
        <f>IF(A392="","",
    SUMIFS(SupplierX!D$6:D$452, SupplierX!C$6:C$452, A392, SupplierX!B$6:B$452, "Item Received")
    + SUMIFS(SupplierY!D$6:D$452, SupplierY!C$6:C$452, A392, SupplierY!B$6:B$452, "Item Received")
)</f>
        <v/>
      </c>
      <c r="D392" s="8"/>
      <c r="E392" s="13" t="str">
        <f>IF(Inventory[[#This Row],[Item]]="","",Inventory[[#This Row],[ Opening Stock]]+Inventory[[#This Row],[ Quantity Received]]-Inventory[[#This Row],[ Quantity Used]])</f>
        <v/>
      </c>
    </row>
    <row r="393" spans="1:5" x14ac:dyDescent="0.3">
      <c r="A393" s="8"/>
      <c r="B393" s="8"/>
      <c r="C393" s="18" t="str">
        <f>IF(A393="","",
    SUMIFS(SupplierX!D$6:D$452, SupplierX!C$6:C$452, A393, SupplierX!B$6:B$452, "Item Received")
    + SUMIFS(SupplierY!D$6:D$452, SupplierY!C$6:C$452, A393, SupplierY!B$6:B$452, "Item Received")
)</f>
        <v/>
      </c>
      <c r="D393" s="8"/>
      <c r="E393" s="13" t="str">
        <f>IF(Inventory[[#This Row],[Item]]="","",Inventory[[#This Row],[ Opening Stock]]+Inventory[[#This Row],[ Quantity Received]]-Inventory[[#This Row],[ Quantity Used]])</f>
        <v/>
      </c>
    </row>
    <row r="394" spans="1:5" x14ac:dyDescent="0.3">
      <c r="A394" s="8"/>
      <c r="B394" s="8"/>
      <c r="C394" s="18" t="str">
        <f>IF(A394="","",
    SUMIFS(SupplierX!D$6:D$452, SupplierX!C$6:C$452, A394, SupplierX!B$6:B$452, "Item Received")
    + SUMIFS(SupplierY!D$6:D$452, SupplierY!C$6:C$452, A394, SupplierY!B$6:B$452, "Item Received")
)</f>
        <v/>
      </c>
      <c r="D394" s="8"/>
      <c r="E394" s="13" t="str">
        <f>IF(Inventory[[#This Row],[Item]]="","",Inventory[[#This Row],[ Opening Stock]]+Inventory[[#This Row],[ Quantity Received]]-Inventory[[#This Row],[ Quantity Used]])</f>
        <v/>
      </c>
    </row>
    <row r="395" spans="1:5" x14ac:dyDescent="0.3">
      <c r="A395" s="8"/>
      <c r="B395" s="8"/>
      <c r="C395" s="18" t="str">
        <f>IF(A395="","",
    SUMIFS(SupplierX!D$6:D$452, SupplierX!C$6:C$452, A395, SupplierX!B$6:B$452, "Item Received")
    + SUMIFS(SupplierY!D$6:D$452, SupplierY!C$6:C$452, A395, SupplierY!B$6:B$452, "Item Received")
)</f>
        <v/>
      </c>
      <c r="D395" s="8"/>
      <c r="E395" s="13" t="str">
        <f>IF(Inventory[[#This Row],[Item]]="","",Inventory[[#This Row],[ Opening Stock]]+Inventory[[#This Row],[ Quantity Received]]-Inventory[[#This Row],[ Quantity Used]])</f>
        <v/>
      </c>
    </row>
    <row r="396" spans="1:5" x14ac:dyDescent="0.3">
      <c r="A396" s="8"/>
      <c r="B396" s="8"/>
      <c r="C396" s="18" t="str">
        <f>IF(A396="","",
    SUMIFS(SupplierX!D$6:D$452, SupplierX!C$6:C$452, A396, SupplierX!B$6:B$452, "Item Received")
    + SUMIFS(SupplierY!D$6:D$452, SupplierY!C$6:C$452, A396, SupplierY!B$6:B$452, "Item Received")
)</f>
        <v/>
      </c>
      <c r="D396" s="8"/>
      <c r="E396" s="13" t="str">
        <f>IF(Inventory[[#This Row],[Item]]="","",Inventory[[#This Row],[ Opening Stock]]+Inventory[[#This Row],[ Quantity Received]]-Inventory[[#This Row],[ Quantity Used]])</f>
        <v/>
      </c>
    </row>
    <row r="397" spans="1:5" x14ac:dyDescent="0.3">
      <c r="A397" s="8"/>
      <c r="B397" s="8"/>
      <c r="C397" s="18" t="str">
        <f>IF(A397="","",
    SUMIFS(SupplierX!D$6:D$452, SupplierX!C$6:C$452, A397, SupplierX!B$6:B$452, "Item Received")
    + SUMIFS(SupplierY!D$6:D$452, SupplierY!C$6:C$452, A397, SupplierY!B$6:B$452, "Item Received")
)</f>
        <v/>
      </c>
      <c r="D397" s="8"/>
      <c r="E397" s="13" t="str">
        <f>IF(Inventory[[#This Row],[Item]]="","",Inventory[[#This Row],[ Opening Stock]]+Inventory[[#This Row],[ Quantity Received]]-Inventory[[#This Row],[ Quantity Used]])</f>
        <v/>
      </c>
    </row>
    <row r="398" spans="1:5" x14ac:dyDescent="0.3">
      <c r="A398" s="8"/>
      <c r="B398" s="8"/>
      <c r="C398" s="18" t="str">
        <f>IF(A398="","",
    SUMIFS(SupplierX!D$6:D$452, SupplierX!C$6:C$452, A398, SupplierX!B$6:B$452, "Item Received")
    + SUMIFS(SupplierY!D$6:D$452, SupplierY!C$6:C$452, A398, SupplierY!B$6:B$452, "Item Received")
)</f>
        <v/>
      </c>
      <c r="D398" s="8"/>
      <c r="E398" s="13" t="str">
        <f>IF(Inventory[[#This Row],[Item]]="","",Inventory[[#This Row],[ Opening Stock]]+Inventory[[#This Row],[ Quantity Received]]-Inventory[[#This Row],[ Quantity Used]])</f>
        <v/>
      </c>
    </row>
    <row r="399" spans="1:5" x14ac:dyDescent="0.3">
      <c r="A399" s="8"/>
      <c r="B399" s="8"/>
      <c r="C399" s="18" t="str">
        <f>IF(A399="","",
    SUMIFS(SupplierX!D$6:D$452, SupplierX!C$6:C$452, A399, SupplierX!B$6:B$452, "Item Received")
    + SUMIFS(SupplierY!D$6:D$452, SupplierY!C$6:C$452, A399, SupplierY!B$6:B$452, "Item Received")
)</f>
        <v/>
      </c>
      <c r="D399" s="8"/>
      <c r="E399" s="13" t="str">
        <f>IF(Inventory[[#This Row],[Item]]="","",Inventory[[#This Row],[ Opening Stock]]+Inventory[[#This Row],[ Quantity Received]]-Inventory[[#This Row],[ Quantity Used]])</f>
        <v/>
      </c>
    </row>
    <row r="400" spans="1:5" x14ac:dyDescent="0.3">
      <c r="A400" s="8"/>
      <c r="B400" s="8"/>
      <c r="C400" s="18" t="str">
        <f>IF(A400="","",
    SUMIFS(SupplierX!D$6:D$452, SupplierX!C$6:C$452, A400, SupplierX!B$6:B$452, "Item Received")
    + SUMIFS(SupplierY!D$6:D$452, SupplierY!C$6:C$452, A400, SupplierY!B$6:B$452, "Item Received")
)</f>
        <v/>
      </c>
      <c r="D400" s="8"/>
      <c r="E400" s="13" t="str">
        <f>IF(Inventory[[#This Row],[Item]]="","",Inventory[[#This Row],[ Opening Stock]]+Inventory[[#This Row],[ Quantity Received]]-Inventory[[#This Row],[ Quantity Used]])</f>
        <v/>
      </c>
    </row>
  </sheetData>
  <sheetProtection sheet="1" objects="1" scenarios="1" selectLockedCells="1" sort="0" autoFilter="0"/>
  <mergeCells count="1">
    <mergeCell ref="A1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450"/>
  <sheetViews>
    <sheetView workbookViewId="0">
      <pane ySplit="3" topLeftCell="A4" activePane="bottomLeft" state="frozen"/>
      <selection pane="bottomLeft" activeCell="C16" sqref="C16"/>
    </sheetView>
  </sheetViews>
  <sheetFormatPr defaultColWidth="0" defaultRowHeight="15.6" zeroHeight="1" x14ac:dyDescent="0.3"/>
  <cols>
    <col min="1" max="1" width="17.88671875" style="1" customWidth="1"/>
    <col min="2" max="2" width="18.77734375" style="2" customWidth="1"/>
    <col min="3" max="3" width="18" style="2" customWidth="1"/>
    <col min="4" max="7" width="16.44140625" style="2" customWidth="1"/>
    <col min="8" max="9" width="16.44140625" style="27" customWidth="1"/>
    <col min="10" max="16380" width="16.44140625" style="7" hidden="1"/>
    <col min="16381" max="16384" width="6.77734375" style="7" hidden="1"/>
  </cols>
  <sheetData>
    <row r="1" spans="1:9" s="6" customFormat="1" ht="14.4" x14ac:dyDescent="0.3">
      <c r="A1" s="20" t="s">
        <v>10</v>
      </c>
      <c r="B1" s="21"/>
      <c r="C1" s="21"/>
      <c r="D1" s="21"/>
      <c r="E1" s="21"/>
      <c r="F1" s="21"/>
      <c r="G1" s="21"/>
      <c r="H1" s="28"/>
      <c r="I1" s="28"/>
    </row>
    <row r="2" spans="1:9" ht="14.4" x14ac:dyDescent="0.3">
      <c r="A2" s="22"/>
      <c r="B2" s="22"/>
      <c r="C2" s="22"/>
      <c r="D2" s="22"/>
      <c r="E2" s="22"/>
      <c r="F2" s="22"/>
      <c r="G2" s="22"/>
      <c r="H2" s="28"/>
      <c r="I2" s="28"/>
    </row>
    <row r="3" spans="1:9" ht="31.2" x14ac:dyDescent="0.3">
      <c r="A3" s="16" t="s">
        <v>41</v>
      </c>
      <c r="B3" s="17" t="s">
        <v>1</v>
      </c>
      <c r="C3" s="17" t="s">
        <v>17</v>
      </c>
      <c r="D3" s="17" t="s">
        <v>2</v>
      </c>
      <c r="E3" s="16" t="s">
        <v>4</v>
      </c>
      <c r="F3" s="16" t="s">
        <v>3</v>
      </c>
      <c r="G3" s="16" t="s">
        <v>15</v>
      </c>
      <c r="H3" s="28"/>
      <c r="I3" s="28"/>
    </row>
    <row r="4" spans="1:9" x14ac:dyDescent="0.3">
      <c r="A4" s="15"/>
      <c r="B4" s="3"/>
      <c r="C4" s="3"/>
      <c r="D4" s="3"/>
      <c r="E4" s="4"/>
      <c r="F4" s="5" t="str">
        <f t="shared" ref="F4:F67" si="0">IF(OR(D4="", E4=""), "", D4*E4)</f>
        <v/>
      </c>
      <c r="G4" s="44"/>
      <c r="H4" s="12"/>
      <c r="I4" s="12"/>
    </row>
    <row r="5" spans="1:9" x14ac:dyDescent="0.3">
      <c r="A5" s="15"/>
      <c r="B5" s="3"/>
      <c r="C5" s="3"/>
      <c r="D5" s="3"/>
      <c r="E5" s="4"/>
      <c r="F5" s="5" t="str">
        <f t="shared" si="0"/>
        <v/>
      </c>
      <c r="G5" s="44"/>
      <c r="H5" s="23" t="s">
        <v>42</v>
      </c>
      <c r="I5" s="23"/>
    </row>
    <row r="6" spans="1:9" x14ac:dyDescent="0.3">
      <c r="A6" s="15"/>
      <c r="B6" s="3"/>
      <c r="C6" s="3"/>
      <c r="D6" s="3"/>
      <c r="E6" s="4"/>
      <c r="F6" s="5" t="str">
        <f t="shared" si="0"/>
        <v/>
      </c>
      <c r="G6" s="44"/>
      <c r="H6" s="23"/>
      <c r="I6" s="23"/>
    </row>
    <row r="7" spans="1:9" x14ac:dyDescent="0.3">
      <c r="A7" s="15"/>
      <c r="B7" s="3"/>
      <c r="C7" s="3"/>
      <c r="D7" s="3"/>
      <c r="E7" s="4"/>
      <c r="F7" s="5" t="str">
        <f t="shared" si="0"/>
        <v/>
      </c>
      <c r="G7" s="44"/>
      <c r="H7" s="24" t="str">
        <f>"₦ "&amp; TEXT(SUM(TableX[Amount
₦]),"#,##0.00")</f>
        <v>₦ 0.00</v>
      </c>
      <c r="I7" s="24"/>
    </row>
    <row r="8" spans="1:9" x14ac:dyDescent="0.3">
      <c r="A8" s="15"/>
      <c r="B8" s="3"/>
      <c r="C8" s="3"/>
      <c r="D8" s="3"/>
      <c r="E8" s="4"/>
      <c r="F8" s="5" t="str">
        <f t="shared" si="0"/>
        <v/>
      </c>
      <c r="G8" s="44"/>
      <c r="H8" s="24"/>
      <c r="I8" s="24"/>
    </row>
    <row r="9" spans="1:9" x14ac:dyDescent="0.3">
      <c r="A9" s="15"/>
      <c r="B9" s="3"/>
      <c r="C9" s="3"/>
      <c r="D9" s="3"/>
      <c r="E9" s="4"/>
      <c r="F9" s="5" t="str">
        <f t="shared" si="0"/>
        <v/>
      </c>
      <c r="G9" s="44"/>
      <c r="H9" s="24"/>
      <c r="I9" s="24"/>
    </row>
    <row r="10" spans="1:9" x14ac:dyDescent="0.3">
      <c r="A10" s="15"/>
      <c r="B10" s="3"/>
      <c r="C10" s="3"/>
      <c r="D10" s="3"/>
      <c r="E10" s="4"/>
      <c r="F10" s="5" t="str">
        <f t="shared" si="0"/>
        <v/>
      </c>
      <c r="G10" s="44"/>
      <c r="H10" s="25"/>
      <c r="I10" s="25"/>
    </row>
    <row r="11" spans="1:9" x14ac:dyDescent="0.3">
      <c r="A11" s="15"/>
      <c r="B11" s="3"/>
      <c r="C11" s="3"/>
      <c r="D11" s="3"/>
      <c r="E11" s="4"/>
      <c r="F11" s="5" t="str">
        <f t="shared" si="0"/>
        <v/>
      </c>
      <c r="G11" s="44"/>
      <c r="H11" s="23" t="s">
        <v>43</v>
      </c>
      <c r="I11" s="23"/>
    </row>
    <row r="12" spans="1:9" x14ac:dyDescent="0.3">
      <c r="A12" s="15"/>
      <c r="B12" s="3"/>
      <c r="C12" s="3"/>
      <c r="D12" s="3"/>
      <c r="E12" s="4"/>
      <c r="F12" s="5" t="str">
        <f t="shared" si="0"/>
        <v/>
      </c>
      <c r="G12" s="44"/>
      <c r="H12" s="23"/>
      <c r="I12" s="23"/>
    </row>
    <row r="13" spans="1:9" x14ac:dyDescent="0.3">
      <c r="A13" s="15"/>
      <c r="B13" s="3"/>
      <c r="C13" s="3"/>
      <c r="D13" s="3"/>
      <c r="E13" s="4"/>
      <c r="F13" s="5" t="str">
        <f t="shared" si="0"/>
        <v/>
      </c>
      <c r="G13" s="44"/>
      <c r="H13" s="24" t="str">
        <f>"₦ " &amp; TEXT(SUM(TableX[Deposit
₦]), "#,##0.00")</f>
        <v>₦ 0.00</v>
      </c>
      <c r="I13" s="24"/>
    </row>
    <row r="14" spans="1:9" x14ac:dyDescent="0.3">
      <c r="A14" s="15"/>
      <c r="B14" s="3"/>
      <c r="C14" s="3"/>
      <c r="D14" s="3"/>
      <c r="E14" s="4"/>
      <c r="F14" s="5" t="str">
        <f t="shared" si="0"/>
        <v/>
      </c>
      <c r="G14" s="44"/>
      <c r="H14" s="24"/>
      <c r="I14" s="24"/>
    </row>
    <row r="15" spans="1:9" x14ac:dyDescent="0.3">
      <c r="A15" s="15"/>
      <c r="B15" s="3"/>
      <c r="C15" s="3"/>
      <c r="D15" s="3"/>
      <c r="E15" s="4"/>
      <c r="F15" s="5" t="str">
        <f t="shared" si="0"/>
        <v/>
      </c>
      <c r="G15" s="44"/>
      <c r="H15" s="24"/>
      <c r="I15" s="24"/>
    </row>
    <row r="16" spans="1:9" x14ac:dyDescent="0.3">
      <c r="A16" s="15"/>
      <c r="B16" s="3"/>
      <c r="C16" s="3"/>
      <c r="D16" s="3"/>
      <c r="E16" s="4"/>
      <c r="F16" s="5" t="str">
        <f t="shared" si="0"/>
        <v/>
      </c>
      <c r="G16" s="44"/>
      <c r="H16" s="26"/>
      <c r="I16" s="26"/>
    </row>
    <row r="17" spans="1:9" x14ac:dyDescent="0.3">
      <c r="A17" s="15"/>
      <c r="B17" s="3"/>
      <c r="C17" s="3"/>
      <c r="D17" s="3"/>
      <c r="E17" s="4"/>
      <c r="F17" s="5" t="str">
        <f t="shared" si="0"/>
        <v/>
      </c>
      <c r="G17" s="44"/>
      <c r="H17" s="23" t="s">
        <v>44</v>
      </c>
      <c r="I17" s="23"/>
    </row>
    <row r="18" spans="1:9" x14ac:dyDescent="0.3">
      <c r="A18" s="15"/>
      <c r="B18" s="3"/>
      <c r="C18" s="3"/>
      <c r="D18" s="3"/>
      <c r="E18" s="4"/>
      <c r="F18" s="5" t="str">
        <f t="shared" si="0"/>
        <v/>
      </c>
      <c r="G18" s="44"/>
      <c r="H18" s="23"/>
      <c r="I18" s="23"/>
    </row>
    <row r="19" spans="1:9" x14ac:dyDescent="0.3">
      <c r="A19" s="15"/>
      <c r="B19" s="3"/>
      <c r="C19" s="3"/>
      <c r="D19" s="3"/>
      <c r="E19" s="4"/>
      <c r="F19" s="5" t="str">
        <f t="shared" si="0"/>
        <v/>
      </c>
      <c r="G19" s="44"/>
      <c r="H19" s="24" t="str">
        <f>"₦ "&amp; TEXT(SUM(TableX[Deposit
₦])-SUM(TableX[Amount
₦]),"#,##0.00")</f>
        <v>₦ 0.00</v>
      </c>
      <c r="I19" s="24"/>
    </row>
    <row r="20" spans="1:9" x14ac:dyDescent="0.3">
      <c r="A20" s="15"/>
      <c r="B20" s="3"/>
      <c r="C20" s="3"/>
      <c r="D20" s="3"/>
      <c r="E20" s="4"/>
      <c r="F20" s="5" t="str">
        <f t="shared" si="0"/>
        <v/>
      </c>
      <c r="G20" s="44"/>
      <c r="H20" s="24"/>
      <c r="I20" s="24"/>
    </row>
    <row r="21" spans="1:9" x14ac:dyDescent="0.3">
      <c r="A21" s="15"/>
      <c r="B21" s="3"/>
      <c r="C21" s="3"/>
      <c r="D21" s="3"/>
      <c r="E21" s="4"/>
      <c r="F21" s="5" t="str">
        <f t="shared" si="0"/>
        <v/>
      </c>
      <c r="G21" s="44"/>
      <c r="H21" s="24"/>
      <c r="I21" s="24"/>
    </row>
    <row r="22" spans="1:9" x14ac:dyDescent="0.3">
      <c r="A22" s="15"/>
      <c r="B22" s="3"/>
      <c r="C22" s="3"/>
      <c r="D22" s="3"/>
      <c r="E22" s="4"/>
      <c r="F22" s="5" t="str">
        <f t="shared" si="0"/>
        <v/>
      </c>
      <c r="G22" s="44"/>
    </row>
    <row r="23" spans="1:9" x14ac:dyDescent="0.3">
      <c r="A23" s="15"/>
      <c r="B23" s="3"/>
      <c r="C23" s="3"/>
      <c r="D23" s="3"/>
      <c r="E23" s="4"/>
      <c r="F23" s="5" t="str">
        <f t="shared" si="0"/>
        <v/>
      </c>
      <c r="G23" s="44"/>
    </row>
    <row r="24" spans="1:9" x14ac:dyDescent="0.3">
      <c r="A24" s="15"/>
      <c r="B24" s="3"/>
      <c r="C24" s="3"/>
      <c r="D24" s="3"/>
      <c r="E24" s="4"/>
      <c r="F24" s="5" t="str">
        <f t="shared" si="0"/>
        <v/>
      </c>
      <c r="G24" s="44"/>
    </row>
    <row r="25" spans="1:9" x14ac:dyDescent="0.3">
      <c r="A25" s="15"/>
      <c r="B25" s="3"/>
      <c r="C25" s="3"/>
      <c r="D25" s="3"/>
      <c r="E25" s="4"/>
      <c r="F25" s="5" t="str">
        <f t="shared" si="0"/>
        <v/>
      </c>
      <c r="G25" s="44"/>
    </row>
    <row r="26" spans="1:9" x14ac:dyDescent="0.3">
      <c r="A26" s="15"/>
      <c r="B26" s="3"/>
      <c r="C26" s="3"/>
      <c r="D26" s="3"/>
      <c r="E26" s="4"/>
      <c r="F26" s="5" t="str">
        <f t="shared" si="0"/>
        <v/>
      </c>
      <c r="G26" s="44"/>
    </row>
    <row r="27" spans="1:9" x14ac:dyDescent="0.3">
      <c r="A27" s="15"/>
      <c r="B27" s="3"/>
      <c r="C27" s="3"/>
      <c r="D27" s="3"/>
      <c r="E27" s="4"/>
      <c r="F27" s="5" t="str">
        <f t="shared" si="0"/>
        <v/>
      </c>
      <c r="G27" s="44"/>
    </row>
    <row r="28" spans="1:9" x14ac:dyDescent="0.3">
      <c r="A28" s="15"/>
      <c r="B28" s="3"/>
      <c r="C28" s="3"/>
      <c r="D28" s="3"/>
      <c r="E28" s="4"/>
      <c r="F28" s="5" t="str">
        <f t="shared" si="0"/>
        <v/>
      </c>
      <c r="G28" s="44"/>
    </row>
    <row r="29" spans="1:9" x14ac:dyDescent="0.3">
      <c r="A29" s="15"/>
      <c r="B29" s="3"/>
      <c r="C29" s="3"/>
      <c r="D29" s="3"/>
      <c r="E29" s="4"/>
      <c r="F29" s="5" t="str">
        <f t="shared" si="0"/>
        <v/>
      </c>
      <c r="G29" s="44"/>
    </row>
    <row r="30" spans="1:9" x14ac:dyDescent="0.3">
      <c r="A30" s="15"/>
      <c r="B30" s="3"/>
      <c r="C30" s="3"/>
      <c r="D30" s="3"/>
      <c r="E30" s="4"/>
      <c r="F30" s="5" t="str">
        <f t="shared" si="0"/>
        <v/>
      </c>
      <c r="G30" s="44"/>
    </row>
    <row r="31" spans="1:9" x14ac:dyDescent="0.3">
      <c r="A31" s="15"/>
      <c r="B31" s="3"/>
      <c r="C31" s="3"/>
      <c r="D31" s="3"/>
      <c r="E31" s="4"/>
      <c r="F31" s="5" t="str">
        <f t="shared" si="0"/>
        <v/>
      </c>
      <c r="G31" s="44"/>
    </row>
    <row r="32" spans="1:9" x14ac:dyDescent="0.3">
      <c r="A32" s="15"/>
      <c r="B32" s="3"/>
      <c r="C32" s="3"/>
      <c r="D32" s="3"/>
      <c r="E32" s="4"/>
      <c r="F32" s="5" t="str">
        <f t="shared" si="0"/>
        <v/>
      </c>
      <c r="G32" s="44"/>
    </row>
    <row r="33" spans="1:9" x14ac:dyDescent="0.3">
      <c r="A33" s="15"/>
      <c r="B33" s="3"/>
      <c r="C33" s="3"/>
      <c r="D33" s="3"/>
      <c r="E33" s="4"/>
      <c r="F33" s="5" t="str">
        <f t="shared" si="0"/>
        <v/>
      </c>
      <c r="G33" s="44"/>
      <c r="H33" s="26"/>
      <c r="I33" s="26"/>
    </row>
    <row r="34" spans="1:9" x14ac:dyDescent="0.3">
      <c r="A34" s="15"/>
      <c r="B34" s="3"/>
      <c r="C34" s="3"/>
      <c r="D34" s="3"/>
      <c r="E34" s="4"/>
      <c r="F34" s="5" t="str">
        <f t="shared" si="0"/>
        <v/>
      </c>
      <c r="G34" s="44"/>
      <c r="H34" s="26"/>
      <c r="I34" s="26"/>
    </row>
    <row r="35" spans="1:9" x14ac:dyDescent="0.3">
      <c r="A35" s="15"/>
      <c r="B35" s="3"/>
      <c r="C35" s="3"/>
      <c r="D35" s="3"/>
      <c r="E35" s="4"/>
      <c r="F35" s="5" t="str">
        <f t="shared" si="0"/>
        <v/>
      </c>
      <c r="G35" s="44"/>
      <c r="H35" s="26"/>
      <c r="I35" s="26"/>
    </row>
    <row r="36" spans="1:9" x14ac:dyDescent="0.3">
      <c r="A36" s="15"/>
      <c r="B36" s="3"/>
      <c r="C36" s="3"/>
      <c r="D36" s="3"/>
      <c r="E36" s="4"/>
      <c r="F36" s="5" t="str">
        <f t="shared" si="0"/>
        <v/>
      </c>
      <c r="G36" s="44"/>
      <c r="H36" s="26"/>
      <c r="I36" s="26"/>
    </row>
    <row r="37" spans="1:9" x14ac:dyDescent="0.3">
      <c r="A37" s="15"/>
      <c r="B37" s="3"/>
      <c r="C37" s="3"/>
      <c r="D37" s="3"/>
      <c r="E37" s="4"/>
      <c r="F37" s="5" t="str">
        <f t="shared" si="0"/>
        <v/>
      </c>
      <c r="G37" s="44"/>
      <c r="H37" s="26"/>
      <c r="I37" s="26"/>
    </row>
    <row r="38" spans="1:9" x14ac:dyDescent="0.3">
      <c r="A38" s="15"/>
      <c r="B38" s="3"/>
      <c r="C38" s="3"/>
      <c r="D38" s="3"/>
      <c r="E38" s="4"/>
      <c r="F38" s="5" t="str">
        <f t="shared" si="0"/>
        <v/>
      </c>
      <c r="G38" s="44"/>
      <c r="H38" s="26"/>
      <c r="I38" s="26"/>
    </row>
    <row r="39" spans="1:9" x14ac:dyDescent="0.3">
      <c r="A39" s="15"/>
      <c r="B39" s="3"/>
      <c r="C39" s="3"/>
      <c r="D39" s="3"/>
      <c r="E39" s="4"/>
      <c r="F39" s="5" t="str">
        <f t="shared" si="0"/>
        <v/>
      </c>
      <c r="G39" s="44"/>
      <c r="H39" s="26"/>
      <c r="I39" s="26"/>
    </row>
    <row r="40" spans="1:9" x14ac:dyDescent="0.3">
      <c r="A40" s="15"/>
      <c r="B40" s="3"/>
      <c r="C40" s="3"/>
      <c r="D40" s="3"/>
      <c r="E40" s="4"/>
      <c r="F40" s="5" t="str">
        <f t="shared" si="0"/>
        <v/>
      </c>
      <c r="G40" s="44"/>
      <c r="H40" s="26"/>
      <c r="I40" s="26"/>
    </row>
    <row r="41" spans="1:9" x14ac:dyDescent="0.3">
      <c r="A41" s="15"/>
      <c r="B41" s="3"/>
      <c r="C41" s="3"/>
      <c r="D41" s="3"/>
      <c r="E41" s="4"/>
      <c r="F41" s="5" t="str">
        <f t="shared" si="0"/>
        <v/>
      </c>
      <c r="G41" s="44"/>
      <c r="H41" s="26"/>
      <c r="I41" s="26"/>
    </row>
    <row r="42" spans="1:9" x14ac:dyDescent="0.3">
      <c r="A42" s="15"/>
      <c r="B42" s="3"/>
      <c r="C42" s="3"/>
      <c r="D42" s="3"/>
      <c r="E42" s="4"/>
      <c r="F42" s="5" t="str">
        <f t="shared" si="0"/>
        <v/>
      </c>
      <c r="G42" s="44"/>
      <c r="H42" s="26"/>
      <c r="I42" s="26"/>
    </row>
    <row r="43" spans="1:9" x14ac:dyDescent="0.3">
      <c r="A43" s="15"/>
      <c r="B43" s="3"/>
      <c r="C43" s="3"/>
      <c r="D43" s="3"/>
      <c r="E43" s="4"/>
      <c r="F43" s="5" t="str">
        <f t="shared" si="0"/>
        <v/>
      </c>
      <c r="G43" s="44"/>
      <c r="H43" s="26"/>
      <c r="I43" s="26"/>
    </row>
    <row r="44" spans="1:9" x14ac:dyDescent="0.3">
      <c r="A44" s="15"/>
      <c r="B44" s="3"/>
      <c r="C44" s="3"/>
      <c r="D44" s="3"/>
      <c r="E44" s="4"/>
      <c r="F44" s="5" t="str">
        <f t="shared" si="0"/>
        <v/>
      </c>
      <c r="G44" s="4"/>
      <c r="H44" s="26"/>
      <c r="I44" s="26"/>
    </row>
    <row r="45" spans="1:9" x14ac:dyDescent="0.3">
      <c r="A45" s="15"/>
      <c r="B45" s="3"/>
      <c r="C45" s="3"/>
      <c r="D45" s="3"/>
      <c r="E45" s="4"/>
      <c r="F45" s="5" t="str">
        <f t="shared" si="0"/>
        <v/>
      </c>
      <c r="G45" s="4"/>
      <c r="H45" s="26"/>
      <c r="I45" s="26"/>
    </row>
    <row r="46" spans="1:9" x14ac:dyDescent="0.3">
      <c r="A46" s="15"/>
      <c r="B46" s="3"/>
      <c r="C46" s="3"/>
      <c r="D46" s="3"/>
      <c r="E46" s="4"/>
      <c r="F46" s="5" t="str">
        <f t="shared" si="0"/>
        <v/>
      </c>
      <c r="G46" s="4"/>
      <c r="H46" s="26"/>
      <c r="I46" s="26"/>
    </row>
    <row r="47" spans="1:9" x14ac:dyDescent="0.3">
      <c r="A47" s="15"/>
      <c r="B47" s="3"/>
      <c r="C47" s="3"/>
      <c r="D47" s="3"/>
      <c r="E47" s="4"/>
      <c r="F47" s="5" t="str">
        <f t="shared" si="0"/>
        <v/>
      </c>
      <c r="G47" s="4"/>
      <c r="H47" s="26"/>
      <c r="I47" s="26"/>
    </row>
    <row r="48" spans="1:9" x14ac:dyDescent="0.3">
      <c r="A48" s="15"/>
      <c r="B48" s="3"/>
      <c r="C48" s="3"/>
      <c r="D48" s="3"/>
      <c r="E48" s="4"/>
      <c r="F48" s="5" t="str">
        <f t="shared" si="0"/>
        <v/>
      </c>
      <c r="G48" s="4"/>
      <c r="H48" s="26"/>
      <c r="I48" s="26"/>
    </row>
    <row r="49" spans="1:9" x14ac:dyDescent="0.3">
      <c r="A49" s="15"/>
      <c r="B49" s="3"/>
      <c r="C49" s="3"/>
      <c r="D49" s="3"/>
      <c r="E49" s="4"/>
      <c r="F49" s="5" t="str">
        <f t="shared" si="0"/>
        <v/>
      </c>
      <c r="G49" s="4"/>
      <c r="H49" s="26"/>
      <c r="I49" s="26"/>
    </row>
    <row r="50" spans="1:9" x14ac:dyDescent="0.3">
      <c r="A50" s="15"/>
      <c r="B50" s="3"/>
      <c r="C50" s="3"/>
      <c r="D50" s="3"/>
      <c r="E50" s="4"/>
      <c r="F50" s="5" t="str">
        <f t="shared" si="0"/>
        <v/>
      </c>
      <c r="G50" s="4"/>
      <c r="H50" s="26"/>
      <c r="I50" s="26"/>
    </row>
    <row r="51" spans="1:9" x14ac:dyDescent="0.3">
      <c r="A51" s="15"/>
      <c r="B51" s="3"/>
      <c r="C51" s="3"/>
      <c r="D51" s="3"/>
      <c r="E51" s="4"/>
      <c r="F51" s="5" t="str">
        <f t="shared" si="0"/>
        <v/>
      </c>
      <c r="G51" s="4"/>
      <c r="H51" s="26"/>
      <c r="I51" s="26"/>
    </row>
    <row r="52" spans="1:9" x14ac:dyDescent="0.3">
      <c r="A52" s="15"/>
      <c r="B52" s="3"/>
      <c r="C52" s="3"/>
      <c r="D52" s="3"/>
      <c r="E52" s="4"/>
      <c r="F52" s="5" t="str">
        <f t="shared" si="0"/>
        <v/>
      </c>
      <c r="G52" s="4"/>
      <c r="H52" s="26"/>
      <c r="I52" s="26"/>
    </row>
    <row r="53" spans="1:9" x14ac:dyDescent="0.3">
      <c r="A53" s="15"/>
      <c r="B53" s="3"/>
      <c r="C53" s="3"/>
      <c r="D53" s="3"/>
      <c r="E53" s="4"/>
      <c r="F53" s="5" t="str">
        <f t="shared" si="0"/>
        <v/>
      </c>
      <c r="G53" s="4"/>
      <c r="H53" s="26"/>
      <c r="I53" s="26"/>
    </row>
    <row r="54" spans="1:9" x14ac:dyDescent="0.3">
      <c r="A54" s="15"/>
      <c r="B54" s="3"/>
      <c r="C54" s="3"/>
      <c r="D54" s="3"/>
      <c r="E54" s="4"/>
      <c r="F54" s="5" t="str">
        <f t="shared" si="0"/>
        <v/>
      </c>
      <c r="G54" s="4"/>
      <c r="H54" s="26"/>
      <c r="I54" s="26"/>
    </row>
    <row r="55" spans="1:9" x14ac:dyDescent="0.3">
      <c r="A55" s="15"/>
      <c r="B55" s="3"/>
      <c r="C55" s="3"/>
      <c r="D55" s="3"/>
      <c r="E55" s="4"/>
      <c r="F55" s="5" t="str">
        <f t="shared" si="0"/>
        <v/>
      </c>
      <c r="G55" s="4"/>
      <c r="H55" s="26"/>
      <c r="I55" s="26"/>
    </row>
    <row r="56" spans="1:9" x14ac:dyDescent="0.3">
      <c r="A56" s="15"/>
      <c r="B56" s="3"/>
      <c r="C56" s="3"/>
      <c r="D56" s="3"/>
      <c r="E56" s="4"/>
      <c r="F56" s="5" t="str">
        <f t="shared" si="0"/>
        <v/>
      </c>
      <c r="G56" s="4"/>
      <c r="H56" s="26"/>
      <c r="I56" s="26"/>
    </row>
    <row r="57" spans="1:9" x14ac:dyDescent="0.3">
      <c r="A57" s="15"/>
      <c r="B57" s="3"/>
      <c r="C57" s="3"/>
      <c r="D57" s="3"/>
      <c r="E57" s="4"/>
      <c r="F57" s="5" t="str">
        <f t="shared" si="0"/>
        <v/>
      </c>
      <c r="G57" s="4"/>
      <c r="H57" s="26"/>
      <c r="I57" s="26"/>
    </row>
    <row r="58" spans="1:9" x14ac:dyDescent="0.3">
      <c r="A58" s="15"/>
      <c r="B58" s="3"/>
      <c r="C58" s="3"/>
      <c r="D58" s="3"/>
      <c r="E58" s="4"/>
      <c r="F58" s="5" t="str">
        <f t="shared" si="0"/>
        <v/>
      </c>
      <c r="G58" s="4"/>
      <c r="H58" s="26"/>
      <c r="I58" s="26"/>
    </row>
    <row r="59" spans="1:9" x14ac:dyDescent="0.3">
      <c r="A59" s="15"/>
      <c r="B59" s="3"/>
      <c r="C59" s="3"/>
      <c r="D59" s="3"/>
      <c r="E59" s="4"/>
      <c r="F59" s="5" t="str">
        <f t="shared" si="0"/>
        <v/>
      </c>
      <c r="G59" s="4"/>
      <c r="H59" s="26"/>
      <c r="I59" s="26"/>
    </row>
    <row r="60" spans="1:9" x14ac:dyDescent="0.3">
      <c r="A60" s="15"/>
      <c r="B60" s="3"/>
      <c r="C60" s="3"/>
      <c r="D60" s="3"/>
      <c r="E60" s="4"/>
      <c r="F60" s="5" t="str">
        <f t="shared" si="0"/>
        <v/>
      </c>
      <c r="G60" s="4"/>
      <c r="H60" s="26"/>
      <c r="I60" s="26"/>
    </row>
    <row r="61" spans="1:9" x14ac:dyDescent="0.3">
      <c r="A61" s="15"/>
      <c r="B61" s="3"/>
      <c r="C61" s="3"/>
      <c r="D61" s="3"/>
      <c r="E61" s="4"/>
      <c r="F61" s="5" t="str">
        <f t="shared" si="0"/>
        <v/>
      </c>
      <c r="G61" s="4"/>
      <c r="H61" s="26"/>
      <c r="I61" s="26"/>
    </row>
    <row r="62" spans="1:9" x14ac:dyDescent="0.3">
      <c r="A62" s="15"/>
      <c r="B62" s="3"/>
      <c r="C62" s="3"/>
      <c r="D62" s="3"/>
      <c r="E62" s="4"/>
      <c r="F62" s="5" t="str">
        <f t="shared" si="0"/>
        <v/>
      </c>
      <c r="G62" s="4"/>
      <c r="H62" s="26"/>
      <c r="I62" s="26"/>
    </row>
    <row r="63" spans="1:9" x14ac:dyDescent="0.3">
      <c r="A63" s="15"/>
      <c r="B63" s="3"/>
      <c r="C63" s="3"/>
      <c r="D63" s="3"/>
      <c r="E63" s="4"/>
      <c r="F63" s="5" t="str">
        <f t="shared" si="0"/>
        <v/>
      </c>
      <c r="G63" s="4"/>
      <c r="H63" s="26"/>
      <c r="I63" s="26"/>
    </row>
    <row r="64" spans="1:9" x14ac:dyDescent="0.3">
      <c r="A64" s="15"/>
      <c r="B64" s="3"/>
      <c r="C64" s="3"/>
      <c r="D64" s="3"/>
      <c r="E64" s="4"/>
      <c r="F64" s="5" t="str">
        <f t="shared" si="0"/>
        <v/>
      </c>
      <c r="G64" s="4"/>
      <c r="H64" s="26"/>
      <c r="I64" s="26"/>
    </row>
    <row r="65" spans="1:9" x14ac:dyDescent="0.3">
      <c r="A65" s="15"/>
      <c r="B65" s="3"/>
      <c r="C65" s="3"/>
      <c r="D65" s="3"/>
      <c r="E65" s="4"/>
      <c r="F65" s="5" t="str">
        <f t="shared" si="0"/>
        <v/>
      </c>
      <c r="G65" s="4"/>
      <c r="H65" s="26"/>
      <c r="I65" s="26"/>
    </row>
    <row r="66" spans="1:9" x14ac:dyDescent="0.3">
      <c r="A66" s="15"/>
      <c r="B66" s="3"/>
      <c r="C66" s="3"/>
      <c r="D66" s="3"/>
      <c r="E66" s="4"/>
      <c r="F66" s="5" t="str">
        <f t="shared" si="0"/>
        <v/>
      </c>
      <c r="G66" s="4"/>
      <c r="H66" s="26"/>
      <c r="I66" s="26"/>
    </row>
    <row r="67" spans="1:9" x14ac:dyDescent="0.3">
      <c r="A67" s="15"/>
      <c r="B67" s="3"/>
      <c r="C67" s="3"/>
      <c r="D67" s="3"/>
      <c r="E67" s="4"/>
      <c r="F67" s="5" t="str">
        <f t="shared" si="0"/>
        <v/>
      </c>
      <c r="G67" s="4"/>
      <c r="H67" s="26"/>
      <c r="I67" s="26"/>
    </row>
    <row r="68" spans="1:9" x14ac:dyDescent="0.3">
      <c r="A68" s="15"/>
      <c r="B68" s="3"/>
      <c r="C68" s="3"/>
      <c r="D68" s="3"/>
      <c r="E68" s="4"/>
      <c r="F68" s="5" t="str">
        <f t="shared" ref="F68:F131" si="1">IF(OR(D68="", E68=""), "", D68*E68)</f>
        <v/>
      </c>
      <c r="G68" s="4"/>
      <c r="H68" s="26"/>
      <c r="I68" s="26"/>
    </row>
    <row r="69" spans="1:9" x14ac:dyDescent="0.3">
      <c r="A69" s="15"/>
      <c r="B69" s="3"/>
      <c r="C69" s="3"/>
      <c r="D69" s="3"/>
      <c r="E69" s="4"/>
      <c r="F69" s="5" t="str">
        <f t="shared" si="1"/>
        <v/>
      </c>
      <c r="G69" s="4"/>
      <c r="H69" s="26"/>
      <c r="I69" s="26"/>
    </row>
    <row r="70" spans="1:9" x14ac:dyDescent="0.3">
      <c r="A70" s="15"/>
      <c r="B70" s="3"/>
      <c r="C70" s="3"/>
      <c r="D70" s="3"/>
      <c r="E70" s="4"/>
      <c r="F70" s="5" t="str">
        <f t="shared" si="1"/>
        <v/>
      </c>
      <c r="G70" s="4"/>
      <c r="H70" s="26"/>
      <c r="I70" s="26"/>
    </row>
    <row r="71" spans="1:9" x14ac:dyDescent="0.3">
      <c r="A71" s="15"/>
      <c r="B71" s="3"/>
      <c r="C71" s="3"/>
      <c r="D71" s="3"/>
      <c r="E71" s="4"/>
      <c r="F71" s="5" t="str">
        <f t="shared" si="1"/>
        <v/>
      </c>
      <c r="G71" s="4"/>
      <c r="H71" s="26"/>
      <c r="I71" s="26"/>
    </row>
    <row r="72" spans="1:9" x14ac:dyDescent="0.3">
      <c r="A72" s="15"/>
      <c r="B72" s="3"/>
      <c r="C72" s="3"/>
      <c r="D72" s="3"/>
      <c r="E72" s="4"/>
      <c r="F72" s="5" t="str">
        <f t="shared" si="1"/>
        <v/>
      </c>
      <c r="G72" s="4"/>
      <c r="H72" s="26"/>
      <c r="I72" s="26"/>
    </row>
    <row r="73" spans="1:9" x14ac:dyDescent="0.3">
      <c r="A73" s="15"/>
      <c r="B73" s="3"/>
      <c r="C73" s="3"/>
      <c r="D73" s="3"/>
      <c r="E73" s="4"/>
      <c r="F73" s="5" t="str">
        <f t="shared" si="1"/>
        <v/>
      </c>
      <c r="G73" s="4"/>
      <c r="H73" s="26"/>
      <c r="I73" s="26"/>
    </row>
    <row r="74" spans="1:9" x14ac:dyDescent="0.3">
      <c r="A74" s="15"/>
      <c r="B74" s="3"/>
      <c r="C74" s="3"/>
      <c r="D74" s="3"/>
      <c r="E74" s="4"/>
      <c r="F74" s="5" t="str">
        <f t="shared" si="1"/>
        <v/>
      </c>
      <c r="G74" s="4"/>
      <c r="H74" s="26"/>
      <c r="I74" s="26"/>
    </row>
    <row r="75" spans="1:9" x14ac:dyDescent="0.3">
      <c r="A75" s="15"/>
      <c r="B75" s="3"/>
      <c r="C75" s="3"/>
      <c r="D75" s="3"/>
      <c r="E75" s="4"/>
      <c r="F75" s="5" t="str">
        <f t="shared" si="1"/>
        <v/>
      </c>
      <c r="G75" s="4"/>
      <c r="H75" s="26"/>
      <c r="I75" s="26"/>
    </row>
    <row r="76" spans="1:9" x14ac:dyDescent="0.3">
      <c r="A76" s="15"/>
      <c r="B76" s="3"/>
      <c r="C76" s="3"/>
      <c r="D76" s="3"/>
      <c r="E76" s="4"/>
      <c r="F76" s="5" t="str">
        <f t="shared" si="1"/>
        <v/>
      </c>
      <c r="G76" s="4"/>
      <c r="H76" s="26"/>
      <c r="I76" s="26"/>
    </row>
    <row r="77" spans="1:9" x14ac:dyDescent="0.3">
      <c r="A77" s="15"/>
      <c r="B77" s="3"/>
      <c r="C77" s="3"/>
      <c r="D77" s="3"/>
      <c r="E77" s="4"/>
      <c r="F77" s="5" t="str">
        <f t="shared" si="1"/>
        <v/>
      </c>
      <c r="G77" s="4"/>
      <c r="H77" s="26"/>
      <c r="I77" s="26"/>
    </row>
    <row r="78" spans="1:9" x14ac:dyDescent="0.3">
      <c r="A78" s="15"/>
      <c r="B78" s="3"/>
      <c r="C78" s="3"/>
      <c r="D78" s="3"/>
      <c r="E78" s="4"/>
      <c r="F78" s="5" t="str">
        <f t="shared" si="1"/>
        <v/>
      </c>
      <c r="G78" s="4"/>
      <c r="H78" s="26"/>
      <c r="I78" s="26"/>
    </row>
    <row r="79" spans="1:9" x14ac:dyDescent="0.3">
      <c r="A79" s="15"/>
      <c r="B79" s="3"/>
      <c r="C79" s="3"/>
      <c r="D79" s="3"/>
      <c r="E79" s="4"/>
      <c r="F79" s="5" t="str">
        <f t="shared" si="1"/>
        <v/>
      </c>
      <c r="G79" s="4"/>
      <c r="H79" s="26"/>
      <c r="I79" s="26"/>
    </row>
    <row r="80" spans="1:9" x14ac:dyDescent="0.3">
      <c r="A80" s="15"/>
      <c r="B80" s="3"/>
      <c r="C80" s="3"/>
      <c r="D80" s="3"/>
      <c r="E80" s="4"/>
      <c r="F80" s="5" t="str">
        <f t="shared" si="1"/>
        <v/>
      </c>
      <c r="G80" s="4"/>
      <c r="H80" s="26"/>
      <c r="I80" s="26"/>
    </row>
    <row r="81" spans="1:9" x14ac:dyDescent="0.3">
      <c r="A81" s="15"/>
      <c r="B81" s="3"/>
      <c r="C81" s="3"/>
      <c r="D81" s="3"/>
      <c r="E81" s="4"/>
      <c r="F81" s="5" t="str">
        <f t="shared" si="1"/>
        <v/>
      </c>
      <c r="G81" s="4"/>
      <c r="H81" s="26"/>
      <c r="I81" s="26"/>
    </row>
    <row r="82" spans="1:9" x14ac:dyDescent="0.3">
      <c r="A82" s="15"/>
      <c r="B82" s="3"/>
      <c r="C82" s="3"/>
      <c r="D82" s="3"/>
      <c r="E82" s="4"/>
      <c r="F82" s="5" t="str">
        <f t="shared" si="1"/>
        <v/>
      </c>
      <c r="G82" s="4"/>
      <c r="H82" s="26"/>
      <c r="I82" s="26"/>
    </row>
    <row r="83" spans="1:9" x14ac:dyDescent="0.3">
      <c r="A83" s="15"/>
      <c r="B83" s="3"/>
      <c r="C83" s="3"/>
      <c r="D83" s="3"/>
      <c r="E83" s="4"/>
      <c r="F83" s="5" t="str">
        <f t="shared" si="1"/>
        <v/>
      </c>
      <c r="G83" s="4"/>
      <c r="H83" s="26"/>
      <c r="I83" s="26"/>
    </row>
    <row r="84" spans="1:9" x14ac:dyDescent="0.3">
      <c r="A84" s="15"/>
      <c r="B84" s="3"/>
      <c r="C84" s="3"/>
      <c r="D84" s="3"/>
      <c r="E84" s="4"/>
      <c r="F84" s="5" t="str">
        <f t="shared" si="1"/>
        <v/>
      </c>
      <c r="G84" s="4"/>
      <c r="H84" s="26"/>
      <c r="I84" s="26"/>
    </row>
    <row r="85" spans="1:9" x14ac:dyDescent="0.3">
      <c r="A85" s="15"/>
      <c r="B85" s="3"/>
      <c r="C85" s="3"/>
      <c r="D85" s="3"/>
      <c r="E85" s="4"/>
      <c r="F85" s="5" t="str">
        <f t="shared" si="1"/>
        <v/>
      </c>
      <c r="G85" s="4"/>
      <c r="H85" s="26"/>
      <c r="I85" s="26"/>
    </row>
    <row r="86" spans="1:9" x14ac:dyDescent="0.3">
      <c r="A86" s="15"/>
      <c r="B86" s="3"/>
      <c r="C86" s="3"/>
      <c r="D86" s="3"/>
      <c r="E86" s="4"/>
      <c r="F86" s="5" t="str">
        <f t="shared" si="1"/>
        <v/>
      </c>
      <c r="G86" s="4"/>
      <c r="H86" s="26"/>
      <c r="I86" s="26"/>
    </row>
    <row r="87" spans="1:9" x14ac:dyDescent="0.3">
      <c r="A87" s="15"/>
      <c r="B87" s="3"/>
      <c r="C87" s="3"/>
      <c r="D87" s="3"/>
      <c r="E87" s="4"/>
      <c r="F87" s="5" t="str">
        <f t="shared" si="1"/>
        <v/>
      </c>
      <c r="G87" s="4"/>
      <c r="H87" s="26"/>
      <c r="I87" s="26"/>
    </row>
    <row r="88" spans="1:9" x14ac:dyDescent="0.3">
      <c r="A88" s="15"/>
      <c r="B88" s="3"/>
      <c r="C88" s="3"/>
      <c r="D88" s="3"/>
      <c r="E88" s="4"/>
      <c r="F88" s="5" t="str">
        <f t="shared" si="1"/>
        <v/>
      </c>
      <c r="G88" s="4"/>
      <c r="H88" s="26"/>
      <c r="I88" s="26"/>
    </row>
    <row r="89" spans="1:9" x14ac:dyDescent="0.3">
      <c r="A89" s="15"/>
      <c r="B89" s="3"/>
      <c r="C89" s="3"/>
      <c r="D89" s="3"/>
      <c r="E89" s="4"/>
      <c r="F89" s="5" t="str">
        <f t="shared" si="1"/>
        <v/>
      </c>
      <c r="G89" s="4"/>
      <c r="H89" s="26"/>
      <c r="I89" s="26"/>
    </row>
    <row r="90" spans="1:9" x14ac:dyDescent="0.3">
      <c r="A90" s="15"/>
      <c r="B90" s="3"/>
      <c r="C90" s="3"/>
      <c r="D90" s="3"/>
      <c r="E90" s="4"/>
      <c r="F90" s="5" t="str">
        <f t="shared" si="1"/>
        <v/>
      </c>
      <c r="G90" s="4"/>
      <c r="H90" s="26"/>
      <c r="I90" s="26"/>
    </row>
    <row r="91" spans="1:9" x14ac:dyDescent="0.3">
      <c r="A91" s="15"/>
      <c r="B91" s="3"/>
      <c r="C91" s="3"/>
      <c r="D91" s="3"/>
      <c r="E91" s="4"/>
      <c r="F91" s="5" t="str">
        <f t="shared" si="1"/>
        <v/>
      </c>
      <c r="G91" s="4"/>
      <c r="H91" s="26"/>
      <c r="I91" s="26"/>
    </row>
    <row r="92" spans="1:9" x14ac:dyDescent="0.3">
      <c r="A92" s="15"/>
      <c r="B92" s="3"/>
      <c r="C92" s="3"/>
      <c r="D92" s="3"/>
      <c r="E92" s="4"/>
      <c r="F92" s="5" t="str">
        <f t="shared" si="1"/>
        <v/>
      </c>
      <c r="G92" s="4"/>
      <c r="H92" s="26"/>
      <c r="I92" s="26"/>
    </row>
    <row r="93" spans="1:9" x14ac:dyDescent="0.3">
      <c r="A93" s="15"/>
      <c r="B93" s="3"/>
      <c r="C93" s="3"/>
      <c r="D93" s="3"/>
      <c r="E93" s="4"/>
      <c r="F93" s="5" t="str">
        <f t="shared" si="1"/>
        <v/>
      </c>
      <c r="G93" s="4"/>
      <c r="H93" s="26"/>
      <c r="I93" s="26"/>
    </row>
    <row r="94" spans="1:9" x14ac:dyDescent="0.3">
      <c r="A94" s="15"/>
      <c r="B94" s="3"/>
      <c r="C94" s="3"/>
      <c r="D94" s="3"/>
      <c r="E94" s="4"/>
      <c r="F94" s="5" t="str">
        <f t="shared" si="1"/>
        <v/>
      </c>
      <c r="G94" s="4"/>
      <c r="H94" s="26"/>
      <c r="I94" s="26"/>
    </row>
    <row r="95" spans="1:9" x14ac:dyDescent="0.3">
      <c r="A95" s="15"/>
      <c r="B95" s="3"/>
      <c r="C95" s="3"/>
      <c r="D95" s="3"/>
      <c r="E95" s="4"/>
      <c r="F95" s="5" t="str">
        <f t="shared" si="1"/>
        <v/>
      </c>
      <c r="G95" s="4"/>
      <c r="H95" s="26"/>
      <c r="I95" s="26"/>
    </row>
    <row r="96" spans="1:9" x14ac:dyDescent="0.3">
      <c r="A96" s="15"/>
      <c r="B96" s="3"/>
      <c r="C96" s="3"/>
      <c r="D96" s="3"/>
      <c r="E96" s="4"/>
      <c r="F96" s="5" t="str">
        <f t="shared" si="1"/>
        <v/>
      </c>
      <c r="G96" s="4"/>
      <c r="H96" s="26"/>
      <c r="I96" s="26"/>
    </row>
    <row r="97" spans="1:9" x14ac:dyDescent="0.3">
      <c r="A97" s="15"/>
      <c r="B97" s="3"/>
      <c r="C97" s="3"/>
      <c r="D97" s="3"/>
      <c r="E97" s="4"/>
      <c r="F97" s="5" t="str">
        <f t="shared" si="1"/>
        <v/>
      </c>
      <c r="G97" s="4"/>
      <c r="H97" s="26"/>
      <c r="I97" s="26"/>
    </row>
    <row r="98" spans="1:9" x14ac:dyDescent="0.3">
      <c r="A98" s="15"/>
      <c r="B98" s="3"/>
      <c r="C98" s="3"/>
      <c r="D98" s="3"/>
      <c r="E98" s="4"/>
      <c r="F98" s="5" t="str">
        <f t="shared" si="1"/>
        <v/>
      </c>
      <c r="G98" s="4"/>
      <c r="H98" s="26"/>
      <c r="I98" s="26"/>
    </row>
    <row r="99" spans="1:9" x14ac:dyDescent="0.3">
      <c r="A99" s="15"/>
      <c r="B99" s="3"/>
      <c r="C99" s="3"/>
      <c r="D99" s="3"/>
      <c r="E99" s="4"/>
      <c r="F99" s="5" t="str">
        <f t="shared" si="1"/>
        <v/>
      </c>
      <c r="G99" s="4"/>
      <c r="H99" s="26"/>
      <c r="I99" s="26"/>
    </row>
    <row r="100" spans="1:9" x14ac:dyDescent="0.3">
      <c r="A100" s="15"/>
      <c r="B100" s="3"/>
      <c r="C100" s="3"/>
      <c r="D100" s="3"/>
      <c r="E100" s="4"/>
      <c r="F100" s="5" t="str">
        <f t="shared" si="1"/>
        <v/>
      </c>
      <c r="G100" s="4"/>
      <c r="H100" s="26"/>
      <c r="I100" s="26"/>
    </row>
    <row r="101" spans="1:9" x14ac:dyDescent="0.3">
      <c r="A101" s="15"/>
      <c r="B101" s="3"/>
      <c r="C101" s="3"/>
      <c r="D101" s="3"/>
      <c r="E101" s="4"/>
      <c r="F101" s="5" t="str">
        <f t="shared" si="1"/>
        <v/>
      </c>
      <c r="G101" s="4"/>
      <c r="H101" s="26"/>
      <c r="I101" s="26"/>
    </row>
    <row r="102" spans="1:9" x14ac:dyDescent="0.3">
      <c r="A102" s="15"/>
      <c r="B102" s="3"/>
      <c r="C102" s="3"/>
      <c r="D102" s="3"/>
      <c r="E102" s="4"/>
      <c r="F102" s="5" t="str">
        <f t="shared" si="1"/>
        <v/>
      </c>
      <c r="G102" s="4"/>
      <c r="H102" s="26"/>
      <c r="I102" s="26"/>
    </row>
    <row r="103" spans="1:9" x14ac:dyDescent="0.3">
      <c r="A103" s="15"/>
      <c r="B103" s="3"/>
      <c r="C103" s="3"/>
      <c r="D103" s="3"/>
      <c r="E103" s="4"/>
      <c r="F103" s="5" t="str">
        <f t="shared" si="1"/>
        <v/>
      </c>
      <c r="G103" s="4"/>
      <c r="H103" s="26"/>
      <c r="I103" s="26"/>
    </row>
    <row r="104" spans="1:9" x14ac:dyDescent="0.3">
      <c r="A104" s="15"/>
      <c r="B104" s="3"/>
      <c r="C104" s="3"/>
      <c r="D104" s="3"/>
      <c r="E104" s="4"/>
      <c r="F104" s="5" t="str">
        <f t="shared" si="1"/>
        <v/>
      </c>
      <c r="G104" s="4"/>
      <c r="H104" s="26"/>
      <c r="I104" s="26"/>
    </row>
    <row r="105" spans="1:9" x14ac:dyDescent="0.3">
      <c r="A105" s="15"/>
      <c r="B105" s="3"/>
      <c r="C105" s="3"/>
      <c r="D105" s="3"/>
      <c r="E105" s="4"/>
      <c r="F105" s="5" t="str">
        <f t="shared" si="1"/>
        <v/>
      </c>
      <c r="G105" s="4"/>
      <c r="H105" s="26"/>
      <c r="I105" s="26"/>
    </row>
    <row r="106" spans="1:9" x14ac:dyDescent="0.3">
      <c r="A106" s="15"/>
      <c r="B106" s="3"/>
      <c r="C106" s="3"/>
      <c r="D106" s="3"/>
      <c r="E106" s="4"/>
      <c r="F106" s="5" t="str">
        <f t="shared" si="1"/>
        <v/>
      </c>
      <c r="G106" s="4"/>
      <c r="H106" s="26"/>
      <c r="I106" s="26"/>
    </row>
    <row r="107" spans="1:9" x14ac:dyDescent="0.3">
      <c r="A107" s="15"/>
      <c r="B107" s="3"/>
      <c r="C107" s="3"/>
      <c r="D107" s="3"/>
      <c r="E107" s="4"/>
      <c r="F107" s="5" t="str">
        <f t="shared" si="1"/>
        <v/>
      </c>
      <c r="G107" s="4"/>
      <c r="H107" s="26"/>
      <c r="I107" s="26"/>
    </row>
    <row r="108" spans="1:9" x14ac:dyDescent="0.3">
      <c r="A108" s="15"/>
      <c r="B108" s="3"/>
      <c r="C108" s="3"/>
      <c r="D108" s="3"/>
      <c r="E108" s="4"/>
      <c r="F108" s="5" t="str">
        <f t="shared" si="1"/>
        <v/>
      </c>
      <c r="G108" s="4"/>
      <c r="H108" s="26"/>
      <c r="I108" s="26"/>
    </row>
    <row r="109" spans="1:9" x14ac:dyDescent="0.3">
      <c r="A109" s="15"/>
      <c r="B109" s="3"/>
      <c r="C109" s="3"/>
      <c r="D109" s="3"/>
      <c r="E109" s="4"/>
      <c r="F109" s="5" t="str">
        <f t="shared" si="1"/>
        <v/>
      </c>
      <c r="G109" s="4"/>
      <c r="H109" s="26"/>
      <c r="I109" s="26"/>
    </row>
    <row r="110" spans="1:9" x14ac:dyDescent="0.3">
      <c r="A110" s="15"/>
      <c r="B110" s="3"/>
      <c r="C110" s="3"/>
      <c r="D110" s="3"/>
      <c r="E110" s="4"/>
      <c r="F110" s="5" t="str">
        <f t="shared" si="1"/>
        <v/>
      </c>
      <c r="G110" s="4"/>
      <c r="H110" s="26"/>
      <c r="I110" s="26"/>
    </row>
    <row r="111" spans="1:9" x14ac:dyDescent="0.3">
      <c r="A111" s="15"/>
      <c r="B111" s="3"/>
      <c r="C111" s="3"/>
      <c r="D111" s="3"/>
      <c r="E111" s="4"/>
      <c r="F111" s="5" t="str">
        <f t="shared" si="1"/>
        <v/>
      </c>
      <c r="G111" s="4"/>
      <c r="H111" s="26"/>
      <c r="I111" s="26"/>
    </row>
    <row r="112" spans="1:9" x14ac:dyDescent="0.3">
      <c r="A112" s="15"/>
      <c r="B112" s="3"/>
      <c r="C112" s="3"/>
      <c r="D112" s="3"/>
      <c r="E112" s="4"/>
      <c r="F112" s="5" t="str">
        <f t="shared" si="1"/>
        <v/>
      </c>
      <c r="G112" s="4"/>
      <c r="H112" s="26"/>
      <c r="I112" s="26"/>
    </row>
    <row r="113" spans="1:9" x14ac:dyDescent="0.3">
      <c r="A113" s="15"/>
      <c r="B113" s="3"/>
      <c r="C113" s="3"/>
      <c r="D113" s="3"/>
      <c r="E113" s="4"/>
      <c r="F113" s="5" t="str">
        <f t="shared" si="1"/>
        <v/>
      </c>
      <c r="G113" s="4"/>
      <c r="H113" s="26"/>
      <c r="I113" s="26"/>
    </row>
    <row r="114" spans="1:9" x14ac:dyDescent="0.3">
      <c r="A114" s="15"/>
      <c r="B114" s="3"/>
      <c r="C114" s="3"/>
      <c r="D114" s="3"/>
      <c r="E114" s="4"/>
      <c r="F114" s="5" t="str">
        <f t="shared" si="1"/>
        <v/>
      </c>
      <c r="G114" s="4"/>
      <c r="H114" s="26"/>
      <c r="I114" s="26"/>
    </row>
    <row r="115" spans="1:9" x14ac:dyDescent="0.3">
      <c r="A115" s="15"/>
      <c r="B115" s="3"/>
      <c r="C115" s="3"/>
      <c r="D115" s="3"/>
      <c r="E115" s="4"/>
      <c r="F115" s="5" t="str">
        <f t="shared" si="1"/>
        <v/>
      </c>
      <c r="G115" s="4"/>
      <c r="H115" s="26"/>
      <c r="I115" s="26"/>
    </row>
    <row r="116" spans="1:9" x14ac:dyDescent="0.3">
      <c r="A116" s="15"/>
      <c r="B116" s="3"/>
      <c r="C116" s="3"/>
      <c r="D116" s="3"/>
      <c r="E116" s="4"/>
      <c r="F116" s="5" t="str">
        <f t="shared" si="1"/>
        <v/>
      </c>
      <c r="G116" s="4"/>
      <c r="H116" s="26"/>
      <c r="I116" s="26"/>
    </row>
    <row r="117" spans="1:9" x14ac:dyDescent="0.3">
      <c r="A117" s="15"/>
      <c r="B117" s="3"/>
      <c r="C117" s="3"/>
      <c r="D117" s="3"/>
      <c r="E117" s="4"/>
      <c r="F117" s="5" t="str">
        <f t="shared" si="1"/>
        <v/>
      </c>
      <c r="G117" s="4"/>
      <c r="H117" s="26"/>
      <c r="I117" s="26"/>
    </row>
    <row r="118" spans="1:9" x14ac:dyDescent="0.3">
      <c r="A118" s="15"/>
      <c r="B118" s="3"/>
      <c r="C118" s="3"/>
      <c r="D118" s="3"/>
      <c r="E118" s="4"/>
      <c r="F118" s="5" t="str">
        <f t="shared" si="1"/>
        <v/>
      </c>
      <c r="G118" s="4"/>
      <c r="H118" s="26"/>
      <c r="I118" s="26"/>
    </row>
    <row r="119" spans="1:9" x14ac:dyDescent="0.3">
      <c r="A119" s="15"/>
      <c r="B119" s="3"/>
      <c r="C119" s="3"/>
      <c r="D119" s="3"/>
      <c r="E119" s="4"/>
      <c r="F119" s="5" t="str">
        <f t="shared" si="1"/>
        <v/>
      </c>
      <c r="G119" s="4"/>
      <c r="H119" s="26"/>
      <c r="I119" s="26"/>
    </row>
    <row r="120" spans="1:9" x14ac:dyDescent="0.3">
      <c r="A120" s="15"/>
      <c r="B120" s="3"/>
      <c r="C120" s="3"/>
      <c r="D120" s="3"/>
      <c r="E120" s="4"/>
      <c r="F120" s="5" t="str">
        <f t="shared" si="1"/>
        <v/>
      </c>
      <c r="G120" s="4"/>
      <c r="H120" s="26"/>
      <c r="I120" s="26"/>
    </row>
    <row r="121" spans="1:9" x14ac:dyDescent="0.3">
      <c r="A121" s="15"/>
      <c r="B121" s="3"/>
      <c r="C121" s="3"/>
      <c r="D121" s="3"/>
      <c r="E121" s="4"/>
      <c r="F121" s="5" t="str">
        <f t="shared" si="1"/>
        <v/>
      </c>
      <c r="G121" s="4"/>
      <c r="H121" s="26"/>
      <c r="I121" s="26"/>
    </row>
    <row r="122" spans="1:9" x14ac:dyDescent="0.3">
      <c r="A122" s="15"/>
      <c r="B122" s="3"/>
      <c r="C122" s="3"/>
      <c r="D122" s="3"/>
      <c r="E122" s="4"/>
      <c r="F122" s="5" t="str">
        <f t="shared" si="1"/>
        <v/>
      </c>
      <c r="G122" s="4"/>
      <c r="H122" s="26"/>
      <c r="I122" s="26"/>
    </row>
    <row r="123" spans="1:9" x14ac:dyDescent="0.3">
      <c r="A123" s="15"/>
      <c r="B123" s="3"/>
      <c r="C123" s="3"/>
      <c r="D123" s="3"/>
      <c r="E123" s="4"/>
      <c r="F123" s="5" t="str">
        <f t="shared" si="1"/>
        <v/>
      </c>
      <c r="G123" s="4"/>
      <c r="H123" s="26"/>
      <c r="I123" s="26"/>
    </row>
    <row r="124" spans="1:9" x14ac:dyDescent="0.3">
      <c r="A124" s="15"/>
      <c r="B124" s="3"/>
      <c r="C124" s="3"/>
      <c r="D124" s="3"/>
      <c r="E124" s="4"/>
      <c r="F124" s="5" t="str">
        <f t="shared" si="1"/>
        <v/>
      </c>
      <c r="G124" s="4"/>
      <c r="H124" s="26"/>
      <c r="I124" s="26"/>
    </row>
    <row r="125" spans="1:9" x14ac:dyDescent="0.3">
      <c r="A125" s="15"/>
      <c r="B125" s="3"/>
      <c r="C125" s="3"/>
      <c r="D125" s="3"/>
      <c r="E125" s="4"/>
      <c r="F125" s="5" t="str">
        <f t="shared" si="1"/>
        <v/>
      </c>
      <c r="G125" s="4"/>
      <c r="H125" s="26"/>
      <c r="I125" s="26"/>
    </row>
    <row r="126" spans="1:9" x14ac:dyDescent="0.3">
      <c r="A126" s="15"/>
      <c r="B126" s="3"/>
      <c r="C126" s="3"/>
      <c r="D126" s="3"/>
      <c r="E126" s="4"/>
      <c r="F126" s="5" t="str">
        <f t="shared" si="1"/>
        <v/>
      </c>
      <c r="G126" s="4"/>
      <c r="H126" s="26"/>
      <c r="I126" s="26"/>
    </row>
    <row r="127" spans="1:9" x14ac:dyDescent="0.3">
      <c r="A127" s="15"/>
      <c r="B127" s="3"/>
      <c r="C127" s="3"/>
      <c r="D127" s="3"/>
      <c r="E127" s="4"/>
      <c r="F127" s="5" t="str">
        <f t="shared" si="1"/>
        <v/>
      </c>
      <c r="G127" s="4"/>
      <c r="H127" s="26"/>
      <c r="I127" s="26"/>
    </row>
    <row r="128" spans="1:9" x14ac:dyDescent="0.3">
      <c r="A128" s="15"/>
      <c r="B128" s="3"/>
      <c r="C128" s="3"/>
      <c r="D128" s="3"/>
      <c r="E128" s="4"/>
      <c r="F128" s="5" t="str">
        <f t="shared" si="1"/>
        <v/>
      </c>
      <c r="G128" s="4"/>
      <c r="H128" s="26"/>
      <c r="I128" s="26"/>
    </row>
    <row r="129" spans="1:9" x14ac:dyDescent="0.3">
      <c r="A129" s="15"/>
      <c r="B129" s="3"/>
      <c r="C129" s="3"/>
      <c r="D129" s="3"/>
      <c r="E129" s="4"/>
      <c r="F129" s="5" t="str">
        <f t="shared" si="1"/>
        <v/>
      </c>
      <c r="G129" s="4"/>
      <c r="H129" s="26"/>
      <c r="I129" s="26"/>
    </row>
    <row r="130" spans="1:9" x14ac:dyDescent="0.3">
      <c r="A130" s="15"/>
      <c r="B130" s="3"/>
      <c r="C130" s="3"/>
      <c r="D130" s="3"/>
      <c r="E130" s="4"/>
      <c r="F130" s="5" t="str">
        <f t="shared" si="1"/>
        <v/>
      </c>
      <c r="G130" s="4"/>
      <c r="H130" s="26"/>
      <c r="I130" s="26"/>
    </row>
    <row r="131" spans="1:9" x14ac:dyDescent="0.3">
      <c r="A131" s="15"/>
      <c r="B131" s="3"/>
      <c r="C131" s="3"/>
      <c r="D131" s="3"/>
      <c r="E131" s="4"/>
      <c r="F131" s="5" t="str">
        <f t="shared" si="1"/>
        <v/>
      </c>
      <c r="G131" s="4"/>
      <c r="H131" s="26"/>
      <c r="I131" s="26"/>
    </row>
    <row r="132" spans="1:9" x14ac:dyDescent="0.3">
      <c r="A132" s="15"/>
      <c r="B132" s="3"/>
      <c r="C132" s="3"/>
      <c r="D132" s="3"/>
      <c r="E132" s="4"/>
      <c r="F132" s="5" t="str">
        <f t="shared" ref="F132:F195" si="2">IF(OR(D132="", E132=""), "", D132*E132)</f>
        <v/>
      </c>
      <c r="G132" s="4"/>
      <c r="H132" s="26"/>
      <c r="I132" s="26"/>
    </row>
    <row r="133" spans="1:9" x14ac:dyDescent="0.3">
      <c r="A133" s="15"/>
      <c r="B133" s="3"/>
      <c r="C133" s="3"/>
      <c r="D133" s="3"/>
      <c r="E133" s="4"/>
      <c r="F133" s="5" t="str">
        <f t="shared" si="2"/>
        <v/>
      </c>
      <c r="G133" s="4"/>
      <c r="H133" s="26"/>
      <c r="I133" s="26"/>
    </row>
    <row r="134" spans="1:9" x14ac:dyDescent="0.3">
      <c r="A134" s="15"/>
      <c r="B134" s="3"/>
      <c r="C134" s="3"/>
      <c r="D134" s="3"/>
      <c r="E134" s="4"/>
      <c r="F134" s="5" t="str">
        <f t="shared" si="2"/>
        <v/>
      </c>
      <c r="G134" s="4"/>
      <c r="H134" s="26"/>
      <c r="I134" s="26"/>
    </row>
    <row r="135" spans="1:9" x14ac:dyDescent="0.3">
      <c r="A135" s="15"/>
      <c r="B135" s="3"/>
      <c r="C135" s="3"/>
      <c r="D135" s="3"/>
      <c r="E135" s="4"/>
      <c r="F135" s="5" t="str">
        <f t="shared" si="2"/>
        <v/>
      </c>
      <c r="G135" s="4"/>
      <c r="H135" s="26"/>
      <c r="I135" s="26"/>
    </row>
    <row r="136" spans="1:9" x14ac:dyDescent="0.3">
      <c r="A136" s="15"/>
      <c r="B136" s="3"/>
      <c r="C136" s="3"/>
      <c r="D136" s="3"/>
      <c r="E136" s="4"/>
      <c r="F136" s="5" t="str">
        <f t="shared" si="2"/>
        <v/>
      </c>
      <c r="G136" s="4"/>
      <c r="H136" s="26"/>
      <c r="I136" s="26"/>
    </row>
    <row r="137" spans="1:9" x14ac:dyDescent="0.3">
      <c r="A137" s="15"/>
      <c r="B137" s="3"/>
      <c r="C137" s="3"/>
      <c r="D137" s="3"/>
      <c r="E137" s="4"/>
      <c r="F137" s="5" t="str">
        <f t="shared" si="2"/>
        <v/>
      </c>
      <c r="G137" s="4"/>
      <c r="H137" s="26"/>
      <c r="I137" s="26"/>
    </row>
    <row r="138" spans="1:9" x14ac:dyDescent="0.3">
      <c r="A138" s="15"/>
      <c r="B138" s="3"/>
      <c r="C138" s="3"/>
      <c r="D138" s="3"/>
      <c r="E138" s="4"/>
      <c r="F138" s="5" t="str">
        <f t="shared" si="2"/>
        <v/>
      </c>
      <c r="G138" s="4"/>
      <c r="H138" s="26"/>
      <c r="I138" s="26"/>
    </row>
    <row r="139" spans="1:9" x14ac:dyDescent="0.3">
      <c r="A139" s="15"/>
      <c r="B139" s="3"/>
      <c r="C139" s="3"/>
      <c r="D139" s="3"/>
      <c r="E139" s="4"/>
      <c r="F139" s="5" t="str">
        <f t="shared" si="2"/>
        <v/>
      </c>
      <c r="G139" s="4"/>
      <c r="H139" s="26"/>
      <c r="I139" s="26"/>
    </row>
    <row r="140" spans="1:9" x14ac:dyDescent="0.3">
      <c r="A140" s="15"/>
      <c r="B140" s="3"/>
      <c r="C140" s="3"/>
      <c r="D140" s="3"/>
      <c r="E140" s="4"/>
      <c r="F140" s="5" t="str">
        <f t="shared" si="2"/>
        <v/>
      </c>
      <c r="G140" s="4"/>
      <c r="H140" s="26"/>
      <c r="I140" s="26"/>
    </row>
    <row r="141" spans="1:9" x14ac:dyDescent="0.3">
      <c r="A141" s="15"/>
      <c r="B141" s="3"/>
      <c r="C141" s="3"/>
      <c r="D141" s="3"/>
      <c r="E141" s="4"/>
      <c r="F141" s="5" t="str">
        <f t="shared" si="2"/>
        <v/>
      </c>
      <c r="G141" s="4"/>
      <c r="H141" s="26"/>
      <c r="I141" s="26"/>
    </row>
    <row r="142" spans="1:9" x14ac:dyDescent="0.3">
      <c r="A142" s="15"/>
      <c r="B142" s="3"/>
      <c r="C142" s="3"/>
      <c r="D142" s="3"/>
      <c r="E142" s="4"/>
      <c r="F142" s="5" t="str">
        <f t="shared" si="2"/>
        <v/>
      </c>
      <c r="G142" s="4"/>
      <c r="H142" s="26"/>
      <c r="I142" s="26"/>
    </row>
    <row r="143" spans="1:9" x14ac:dyDescent="0.3">
      <c r="A143" s="15"/>
      <c r="B143" s="3"/>
      <c r="C143" s="3"/>
      <c r="D143" s="3"/>
      <c r="E143" s="4"/>
      <c r="F143" s="5" t="str">
        <f t="shared" si="2"/>
        <v/>
      </c>
      <c r="G143" s="4"/>
      <c r="H143" s="26"/>
      <c r="I143" s="26"/>
    </row>
    <row r="144" spans="1:9" x14ac:dyDescent="0.3">
      <c r="A144" s="15"/>
      <c r="B144" s="3"/>
      <c r="C144" s="3"/>
      <c r="D144" s="3"/>
      <c r="E144" s="4"/>
      <c r="F144" s="5" t="str">
        <f t="shared" si="2"/>
        <v/>
      </c>
      <c r="G144" s="4"/>
      <c r="H144" s="26"/>
      <c r="I144" s="26"/>
    </row>
    <row r="145" spans="1:9" x14ac:dyDescent="0.3">
      <c r="A145" s="15"/>
      <c r="B145" s="3"/>
      <c r="C145" s="3"/>
      <c r="D145" s="3"/>
      <c r="E145" s="4"/>
      <c r="F145" s="5" t="str">
        <f t="shared" si="2"/>
        <v/>
      </c>
      <c r="G145" s="4"/>
      <c r="H145" s="26"/>
      <c r="I145" s="26"/>
    </row>
    <row r="146" spans="1:9" x14ac:dyDescent="0.3">
      <c r="A146" s="15"/>
      <c r="B146" s="3"/>
      <c r="C146" s="3"/>
      <c r="D146" s="3"/>
      <c r="E146" s="4"/>
      <c r="F146" s="5" t="str">
        <f t="shared" si="2"/>
        <v/>
      </c>
      <c r="G146" s="4"/>
      <c r="H146" s="26"/>
      <c r="I146" s="26"/>
    </row>
    <row r="147" spans="1:9" x14ac:dyDescent="0.3">
      <c r="A147" s="15"/>
      <c r="B147" s="3"/>
      <c r="C147" s="3"/>
      <c r="D147" s="3"/>
      <c r="E147" s="4"/>
      <c r="F147" s="5" t="str">
        <f t="shared" si="2"/>
        <v/>
      </c>
      <c r="G147" s="4"/>
      <c r="H147" s="26"/>
      <c r="I147" s="26"/>
    </row>
    <row r="148" spans="1:9" x14ac:dyDescent="0.3">
      <c r="A148" s="15"/>
      <c r="B148" s="3"/>
      <c r="C148" s="3"/>
      <c r="D148" s="3"/>
      <c r="E148" s="4"/>
      <c r="F148" s="5" t="str">
        <f t="shared" si="2"/>
        <v/>
      </c>
      <c r="G148" s="4"/>
      <c r="H148" s="26"/>
      <c r="I148" s="26"/>
    </row>
    <row r="149" spans="1:9" x14ac:dyDescent="0.3">
      <c r="A149" s="15"/>
      <c r="B149" s="3"/>
      <c r="C149" s="3"/>
      <c r="D149" s="3"/>
      <c r="E149" s="4"/>
      <c r="F149" s="5" t="str">
        <f t="shared" si="2"/>
        <v/>
      </c>
      <c r="G149" s="4"/>
      <c r="H149" s="26"/>
      <c r="I149" s="26"/>
    </row>
    <row r="150" spans="1:9" x14ac:dyDescent="0.3">
      <c r="A150" s="15"/>
      <c r="B150" s="3"/>
      <c r="C150" s="3"/>
      <c r="D150" s="3"/>
      <c r="E150" s="4"/>
      <c r="F150" s="5" t="str">
        <f t="shared" si="2"/>
        <v/>
      </c>
      <c r="G150" s="4"/>
      <c r="H150" s="26"/>
      <c r="I150" s="26"/>
    </row>
    <row r="151" spans="1:9" x14ac:dyDescent="0.3">
      <c r="A151" s="15"/>
      <c r="B151" s="3"/>
      <c r="C151" s="3"/>
      <c r="D151" s="3"/>
      <c r="E151" s="4"/>
      <c r="F151" s="5" t="str">
        <f t="shared" si="2"/>
        <v/>
      </c>
      <c r="G151" s="4"/>
      <c r="H151" s="26"/>
      <c r="I151" s="26"/>
    </row>
    <row r="152" spans="1:9" x14ac:dyDescent="0.3">
      <c r="A152" s="15"/>
      <c r="B152" s="3"/>
      <c r="C152" s="3"/>
      <c r="D152" s="3"/>
      <c r="E152" s="4"/>
      <c r="F152" s="5" t="str">
        <f t="shared" si="2"/>
        <v/>
      </c>
      <c r="G152" s="4"/>
      <c r="H152" s="26"/>
      <c r="I152" s="26"/>
    </row>
    <row r="153" spans="1:9" x14ac:dyDescent="0.3">
      <c r="A153" s="15"/>
      <c r="B153" s="3"/>
      <c r="C153" s="3"/>
      <c r="D153" s="3"/>
      <c r="E153" s="4"/>
      <c r="F153" s="5" t="str">
        <f t="shared" si="2"/>
        <v/>
      </c>
      <c r="G153" s="4"/>
      <c r="H153" s="26"/>
      <c r="I153" s="26"/>
    </row>
    <row r="154" spans="1:9" x14ac:dyDescent="0.3">
      <c r="A154" s="15"/>
      <c r="B154" s="3"/>
      <c r="C154" s="3"/>
      <c r="D154" s="3"/>
      <c r="E154" s="4"/>
      <c r="F154" s="5" t="str">
        <f t="shared" si="2"/>
        <v/>
      </c>
      <c r="G154" s="4"/>
      <c r="H154" s="26"/>
      <c r="I154" s="26"/>
    </row>
    <row r="155" spans="1:9" x14ac:dyDescent="0.3">
      <c r="A155" s="15"/>
      <c r="B155" s="3"/>
      <c r="C155" s="3"/>
      <c r="D155" s="3"/>
      <c r="E155" s="4"/>
      <c r="F155" s="5" t="str">
        <f t="shared" si="2"/>
        <v/>
      </c>
      <c r="G155" s="4"/>
      <c r="H155" s="26"/>
      <c r="I155" s="26"/>
    </row>
    <row r="156" spans="1:9" x14ac:dyDescent="0.3">
      <c r="A156" s="15"/>
      <c r="B156" s="3"/>
      <c r="C156" s="3"/>
      <c r="D156" s="3"/>
      <c r="E156" s="4"/>
      <c r="F156" s="5" t="str">
        <f t="shared" si="2"/>
        <v/>
      </c>
      <c r="G156" s="4"/>
      <c r="H156" s="26"/>
      <c r="I156" s="26"/>
    </row>
    <row r="157" spans="1:9" x14ac:dyDescent="0.3">
      <c r="A157" s="15"/>
      <c r="B157" s="3"/>
      <c r="C157" s="3"/>
      <c r="D157" s="3"/>
      <c r="E157" s="4"/>
      <c r="F157" s="5" t="str">
        <f t="shared" si="2"/>
        <v/>
      </c>
      <c r="G157" s="4"/>
      <c r="H157" s="26"/>
      <c r="I157" s="26"/>
    </row>
    <row r="158" spans="1:9" x14ac:dyDescent="0.3">
      <c r="A158" s="15"/>
      <c r="B158" s="3"/>
      <c r="C158" s="3"/>
      <c r="D158" s="3"/>
      <c r="E158" s="4"/>
      <c r="F158" s="5" t="str">
        <f t="shared" si="2"/>
        <v/>
      </c>
      <c r="G158" s="4"/>
      <c r="H158" s="26"/>
      <c r="I158" s="26"/>
    </row>
    <row r="159" spans="1:9" x14ac:dyDescent="0.3">
      <c r="A159" s="15"/>
      <c r="B159" s="3"/>
      <c r="C159" s="3"/>
      <c r="D159" s="3"/>
      <c r="E159" s="4"/>
      <c r="F159" s="5" t="str">
        <f t="shared" si="2"/>
        <v/>
      </c>
      <c r="G159" s="4"/>
      <c r="H159" s="26"/>
      <c r="I159" s="26"/>
    </row>
    <row r="160" spans="1:9" x14ac:dyDescent="0.3">
      <c r="A160" s="15"/>
      <c r="B160" s="3"/>
      <c r="C160" s="3"/>
      <c r="D160" s="3"/>
      <c r="E160" s="4"/>
      <c r="F160" s="5" t="str">
        <f t="shared" si="2"/>
        <v/>
      </c>
      <c r="G160" s="4"/>
      <c r="H160" s="26"/>
      <c r="I160" s="26"/>
    </row>
    <row r="161" spans="1:9" x14ac:dyDescent="0.3">
      <c r="A161" s="15"/>
      <c r="B161" s="3"/>
      <c r="C161" s="3"/>
      <c r="D161" s="3"/>
      <c r="E161" s="4"/>
      <c r="F161" s="5" t="str">
        <f t="shared" si="2"/>
        <v/>
      </c>
      <c r="G161" s="4"/>
      <c r="H161" s="26"/>
      <c r="I161" s="26"/>
    </row>
    <row r="162" spans="1:9" x14ac:dyDescent="0.3">
      <c r="A162" s="15"/>
      <c r="B162" s="3"/>
      <c r="C162" s="3"/>
      <c r="D162" s="3"/>
      <c r="E162" s="4"/>
      <c r="F162" s="5" t="str">
        <f t="shared" si="2"/>
        <v/>
      </c>
      <c r="G162" s="4"/>
      <c r="H162" s="26"/>
      <c r="I162" s="26"/>
    </row>
    <row r="163" spans="1:9" x14ac:dyDescent="0.3">
      <c r="A163" s="15"/>
      <c r="B163" s="3"/>
      <c r="C163" s="3"/>
      <c r="D163" s="3"/>
      <c r="E163" s="4"/>
      <c r="F163" s="5" t="str">
        <f t="shared" si="2"/>
        <v/>
      </c>
      <c r="G163" s="4"/>
      <c r="H163" s="26"/>
      <c r="I163" s="26"/>
    </row>
    <row r="164" spans="1:9" x14ac:dyDescent="0.3">
      <c r="A164" s="15"/>
      <c r="B164" s="3"/>
      <c r="C164" s="3"/>
      <c r="D164" s="3"/>
      <c r="E164" s="4"/>
      <c r="F164" s="5" t="str">
        <f t="shared" si="2"/>
        <v/>
      </c>
      <c r="G164" s="4"/>
      <c r="H164" s="26"/>
      <c r="I164" s="26"/>
    </row>
    <row r="165" spans="1:9" x14ac:dyDescent="0.3">
      <c r="A165" s="15"/>
      <c r="B165" s="3"/>
      <c r="C165" s="3"/>
      <c r="D165" s="3"/>
      <c r="E165" s="4"/>
      <c r="F165" s="5" t="str">
        <f t="shared" si="2"/>
        <v/>
      </c>
      <c r="G165" s="4"/>
      <c r="H165" s="26"/>
      <c r="I165" s="26"/>
    </row>
    <row r="166" spans="1:9" x14ac:dyDescent="0.3">
      <c r="A166" s="15"/>
      <c r="B166" s="3"/>
      <c r="C166" s="3"/>
      <c r="D166" s="3"/>
      <c r="E166" s="4"/>
      <c r="F166" s="5" t="str">
        <f t="shared" si="2"/>
        <v/>
      </c>
      <c r="G166" s="4"/>
      <c r="H166" s="26"/>
      <c r="I166" s="26"/>
    </row>
    <row r="167" spans="1:9" x14ac:dyDescent="0.3">
      <c r="A167" s="15"/>
      <c r="B167" s="3"/>
      <c r="C167" s="3"/>
      <c r="D167" s="3"/>
      <c r="E167" s="4"/>
      <c r="F167" s="5" t="str">
        <f t="shared" si="2"/>
        <v/>
      </c>
      <c r="G167" s="4"/>
      <c r="H167" s="26"/>
      <c r="I167" s="26"/>
    </row>
    <row r="168" spans="1:9" x14ac:dyDescent="0.3">
      <c r="A168" s="15"/>
      <c r="B168" s="3"/>
      <c r="C168" s="3"/>
      <c r="D168" s="3"/>
      <c r="E168" s="4"/>
      <c r="F168" s="5" t="str">
        <f t="shared" si="2"/>
        <v/>
      </c>
      <c r="G168" s="4"/>
      <c r="H168" s="26"/>
      <c r="I168" s="26"/>
    </row>
    <row r="169" spans="1:9" x14ac:dyDescent="0.3">
      <c r="A169" s="15"/>
      <c r="B169" s="3"/>
      <c r="C169" s="3"/>
      <c r="D169" s="3"/>
      <c r="E169" s="4"/>
      <c r="F169" s="5" t="str">
        <f t="shared" si="2"/>
        <v/>
      </c>
      <c r="G169" s="4"/>
      <c r="H169" s="26"/>
      <c r="I169" s="26"/>
    </row>
    <row r="170" spans="1:9" x14ac:dyDescent="0.3">
      <c r="A170" s="15"/>
      <c r="B170" s="3"/>
      <c r="C170" s="3"/>
      <c r="D170" s="3"/>
      <c r="E170" s="4"/>
      <c r="F170" s="5" t="str">
        <f t="shared" si="2"/>
        <v/>
      </c>
      <c r="G170" s="4"/>
      <c r="H170" s="26"/>
      <c r="I170" s="26"/>
    </row>
    <row r="171" spans="1:9" x14ac:dyDescent="0.3">
      <c r="A171" s="15"/>
      <c r="B171" s="3"/>
      <c r="C171" s="3"/>
      <c r="D171" s="3"/>
      <c r="E171" s="4"/>
      <c r="F171" s="5" t="str">
        <f t="shared" si="2"/>
        <v/>
      </c>
      <c r="G171" s="4"/>
      <c r="H171" s="26"/>
      <c r="I171" s="26"/>
    </row>
    <row r="172" spans="1:9" x14ac:dyDescent="0.3">
      <c r="A172" s="15"/>
      <c r="B172" s="3"/>
      <c r="C172" s="3"/>
      <c r="D172" s="3"/>
      <c r="E172" s="4"/>
      <c r="F172" s="5" t="str">
        <f t="shared" si="2"/>
        <v/>
      </c>
      <c r="G172" s="4"/>
      <c r="H172" s="26"/>
      <c r="I172" s="26"/>
    </row>
    <row r="173" spans="1:9" x14ac:dyDescent="0.3">
      <c r="A173" s="15"/>
      <c r="B173" s="3"/>
      <c r="C173" s="3"/>
      <c r="D173" s="3"/>
      <c r="E173" s="4"/>
      <c r="F173" s="5" t="str">
        <f t="shared" si="2"/>
        <v/>
      </c>
      <c r="G173" s="4"/>
      <c r="H173" s="26"/>
      <c r="I173" s="26"/>
    </row>
    <row r="174" spans="1:9" x14ac:dyDescent="0.3">
      <c r="A174" s="15"/>
      <c r="B174" s="3"/>
      <c r="C174" s="3"/>
      <c r="D174" s="3"/>
      <c r="E174" s="4"/>
      <c r="F174" s="5" t="str">
        <f t="shared" si="2"/>
        <v/>
      </c>
      <c r="G174" s="4"/>
      <c r="H174" s="26"/>
      <c r="I174" s="26"/>
    </row>
    <row r="175" spans="1:9" x14ac:dyDescent="0.3">
      <c r="A175" s="15"/>
      <c r="B175" s="3"/>
      <c r="C175" s="3"/>
      <c r="D175" s="3"/>
      <c r="E175" s="4"/>
      <c r="F175" s="5" t="str">
        <f t="shared" si="2"/>
        <v/>
      </c>
      <c r="G175" s="4"/>
      <c r="H175" s="26"/>
      <c r="I175" s="26"/>
    </row>
    <row r="176" spans="1:9" x14ac:dyDescent="0.3">
      <c r="A176" s="15"/>
      <c r="B176" s="3"/>
      <c r="C176" s="3"/>
      <c r="D176" s="3"/>
      <c r="E176" s="4"/>
      <c r="F176" s="5" t="str">
        <f t="shared" si="2"/>
        <v/>
      </c>
      <c r="G176" s="4"/>
      <c r="H176" s="26"/>
      <c r="I176" s="26"/>
    </row>
    <row r="177" spans="1:9" x14ac:dyDescent="0.3">
      <c r="A177" s="15"/>
      <c r="B177" s="3"/>
      <c r="C177" s="3"/>
      <c r="D177" s="3"/>
      <c r="E177" s="4"/>
      <c r="F177" s="5" t="str">
        <f t="shared" si="2"/>
        <v/>
      </c>
      <c r="G177" s="4"/>
      <c r="H177" s="26"/>
      <c r="I177" s="26"/>
    </row>
    <row r="178" spans="1:9" x14ac:dyDescent="0.3">
      <c r="A178" s="15"/>
      <c r="B178" s="3"/>
      <c r="C178" s="3"/>
      <c r="D178" s="3"/>
      <c r="E178" s="4"/>
      <c r="F178" s="5" t="str">
        <f t="shared" si="2"/>
        <v/>
      </c>
      <c r="G178" s="4"/>
      <c r="H178" s="26"/>
      <c r="I178" s="26"/>
    </row>
    <row r="179" spans="1:9" x14ac:dyDescent="0.3">
      <c r="A179" s="15"/>
      <c r="B179" s="3"/>
      <c r="C179" s="3"/>
      <c r="D179" s="3"/>
      <c r="E179" s="4"/>
      <c r="F179" s="5" t="str">
        <f t="shared" si="2"/>
        <v/>
      </c>
      <c r="G179" s="4"/>
      <c r="H179" s="26"/>
      <c r="I179" s="26"/>
    </row>
    <row r="180" spans="1:9" x14ac:dyDescent="0.3">
      <c r="A180" s="15"/>
      <c r="B180" s="3"/>
      <c r="C180" s="3"/>
      <c r="D180" s="3"/>
      <c r="E180" s="4"/>
      <c r="F180" s="5" t="str">
        <f t="shared" si="2"/>
        <v/>
      </c>
      <c r="G180" s="4"/>
      <c r="H180" s="26"/>
      <c r="I180" s="26"/>
    </row>
    <row r="181" spans="1:9" x14ac:dyDescent="0.3">
      <c r="A181" s="15"/>
      <c r="B181" s="3"/>
      <c r="C181" s="3"/>
      <c r="D181" s="3"/>
      <c r="E181" s="4"/>
      <c r="F181" s="5" t="str">
        <f t="shared" si="2"/>
        <v/>
      </c>
      <c r="G181" s="4"/>
      <c r="H181" s="26"/>
      <c r="I181" s="26"/>
    </row>
    <row r="182" spans="1:9" x14ac:dyDescent="0.3">
      <c r="A182" s="15"/>
      <c r="B182" s="3"/>
      <c r="C182" s="3"/>
      <c r="D182" s="3"/>
      <c r="E182" s="4"/>
      <c r="F182" s="5" t="str">
        <f t="shared" si="2"/>
        <v/>
      </c>
      <c r="G182" s="4"/>
      <c r="H182" s="26"/>
      <c r="I182" s="26"/>
    </row>
    <row r="183" spans="1:9" x14ac:dyDescent="0.3">
      <c r="A183" s="15"/>
      <c r="B183" s="3"/>
      <c r="C183" s="3"/>
      <c r="D183" s="3"/>
      <c r="E183" s="4"/>
      <c r="F183" s="5" t="str">
        <f t="shared" si="2"/>
        <v/>
      </c>
      <c r="G183" s="4"/>
      <c r="H183" s="26"/>
      <c r="I183" s="26"/>
    </row>
    <row r="184" spans="1:9" x14ac:dyDescent="0.3">
      <c r="A184" s="15"/>
      <c r="B184" s="3"/>
      <c r="C184" s="3"/>
      <c r="D184" s="3"/>
      <c r="E184" s="4"/>
      <c r="F184" s="5" t="str">
        <f t="shared" si="2"/>
        <v/>
      </c>
      <c r="G184" s="4"/>
      <c r="H184" s="26"/>
      <c r="I184" s="26"/>
    </row>
    <row r="185" spans="1:9" x14ac:dyDescent="0.3">
      <c r="A185" s="15"/>
      <c r="B185" s="3"/>
      <c r="C185" s="3"/>
      <c r="D185" s="3"/>
      <c r="E185" s="4"/>
      <c r="F185" s="5" t="str">
        <f t="shared" si="2"/>
        <v/>
      </c>
      <c r="G185" s="4"/>
      <c r="H185" s="26"/>
      <c r="I185" s="26"/>
    </row>
    <row r="186" spans="1:9" x14ac:dyDescent="0.3">
      <c r="A186" s="15"/>
      <c r="B186" s="3"/>
      <c r="C186" s="3"/>
      <c r="D186" s="3"/>
      <c r="E186" s="4"/>
      <c r="F186" s="5" t="str">
        <f t="shared" si="2"/>
        <v/>
      </c>
      <c r="G186" s="4"/>
      <c r="H186" s="26"/>
      <c r="I186" s="26"/>
    </row>
    <row r="187" spans="1:9" x14ac:dyDescent="0.3">
      <c r="A187" s="15"/>
      <c r="B187" s="3"/>
      <c r="C187" s="3"/>
      <c r="D187" s="3"/>
      <c r="E187" s="4"/>
      <c r="F187" s="5" t="str">
        <f t="shared" si="2"/>
        <v/>
      </c>
      <c r="G187" s="4"/>
      <c r="H187" s="26"/>
      <c r="I187" s="26"/>
    </row>
    <row r="188" spans="1:9" x14ac:dyDescent="0.3">
      <c r="A188" s="15"/>
      <c r="B188" s="3"/>
      <c r="C188" s="3"/>
      <c r="D188" s="3"/>
      <c r="E188" s="4"/>
      <c r="F188" s="5" t="str">
        <f t="shared" si="2"/>
        <v/>
      </c>
      <c r="G188" s="4"/>
      <c r="H188" s="26"/>
      <c r="I188" s="26"/>
    </row>
    <row r="189" spans="1:9" x14ac:dyDescent="0.3">
      <c r="A189" s="15"/>
      <c r="B189" s="3"/>
      <c r="C189" s="3"/>
      <c r="D189" s="3"/>
      <c r="E189" s="4"/>
      <c r="F189" s="5" t="str">
        <f t="shared" si="2"/>
        <v/>
      </c>
      <c r="G189" s="4"/>
      <c r="H189" s="26"/>
      <c r="I189" s="26"/>
    </row>
    <row r="190" spans="1:9" x14ac:dyDescent="0.3">
      <c r="A190" s="15"/>
      <c r="B190" s="3"/>
      <c r="C190" s="3"/>
      <c r="D190" s="3"/>
      <c r="E190" s="4"/>
      <c r="F190" s="5" t="str">
        <f t="shared" si="2"/>
        <v/>
      </c>
      <c r="G190" s="4"/>
      <c r="H190" s="26"/>
      <c r="I190" s="26"/>
    </row>
    <row r="191" spans="1:9" x14ac:dyDescent="0.3">
      <c r="A191" s="15"/>
      <c r="B191" s="3"/>
      <c r="C191" s="3"/>
      <c r="D191" s="3"/>
      <c r="E191" s="4"/>
      <c r="F191" s="5" t="str">
        <f t="shared" si="2"/>
        <v/>
      </c>
      <c r="G191" s="4"/>
      <c r="H191" s="26"/>
      <c r="I191" s="26"/>
    </row>
    <row r="192" spans="1:9" x14ac:dyDescent="0.3">
      <c r="A192" s="15"/>
      <c r="B192" s="3"/>
      <c r="C192" s="3"/>
      <c r="D192" s="3"/>
      <c r="E192" s="4"/>
      <c r="F192" s="5" t="str">
        <f t="shared" si="2"/>
        <v/>
      </c>
      <c r="G192" s="4"/>
      <c r="H192" s="26"/>
      <c r="I192" s="26"/>
    </row>
    <row r="193" spans="1:9" x14ac:dyDescent="0.3">
      <c r="A193" s="15"/>
      <c r="B193" s="3"/>
      <c r="C193" s="3"/>
      <c r="D193" s="3"/>
      <c r="E193" s="4"/>
      <c r="F193" s="5" t="str">
        <f t="shared" si="2"/>
        <v/>
      </c>
      <c r="G193" s="4"/>
      <c r="H193" s="26"/>
      <c r="I193" s="26"/>
    </row>
    <row r="194" spans="1:9" x14ac:dyDescent="0.3">
      <c r="A194" s="15"/>
      <c r="B194" s="3"/>
      <c r="C194" s="3"/>
      <c r="D194" s="3"/>
      <c r="E194" s="4"/>
      <c r="F194" s="5" t="str">
        <f t="shared" si="2"/>
        <v/>
      </c>
      <c r="G194" s="4"/>
      <c r="H194" s="26"/>
      <c r="I194" s="26"/>
    </row>
    <row r="195" spans="1:9" x14ac:dyDescent="0.3">
      <c r="A195" s="15"/>
      <c r="B195" s="3"/>
      <c r="C195" s="3"/>
      <c r="D195" s="3"/>
      <c r="E195" s="4"/>
      <c r="F195" s="5" t="str">
        <f t="shared" si="2"/>
        <v/>
      </c>
      <c r="G195" s="4"/>
      <c r="H195" s="26"/>
      <c r="I195" s="26"/>
    </row>
    <row r="196" spans="1:9" x14ac:dyDescent="0.3">
      <c r="A196" s="15"/>
      <c r="B196" s="3"/>
      <c r="C196" s="3"/>
      <c r="D196" s="3"/>
      <c r="E196" s="4"/>
      <c r="F196" s="5" t="str">
        <f t="shared" ref="F196:F259" si="3">IF(OR(D196="", E196=""), "", D196*E196)</f>
        <v/>
      </c>
      <c r="G196" s="4"/>
      <c r="H196" s="26"/>
      <c r="I196" s="26"/>
    </row>
    <row r="197" spans="1:9" x14ac:dyDescent="0.3">
      <c r="A197" s="15"/>
      <c r="B197" s="3"/>
      <c r="C197" s="3"/>
      <c r="D197" s="3"/>
      <c r="E197" s="4"/>
      <c r="F197" s="5" t="str">
        <f t="shared" si="3"/>
        <v/>
      </c>
      <c r="G197" s="4"/>
      <c r="H197" s="26"/>
      <c r="I197" s="26"/>
    </row>
    <row r="198" spans="1:9" x14ac:dyDescent="0.3">
      <c r="A198" s="15"/>
      <c r="B198" s="3"/>
      <c r="C198" s="3"/>
      <c r="D198" s="3"/>
      <c r="E198" s="4"/>
      <c r="F198" s="5" t="str">
        <f t="shared" si="3"/>
        <v/>
      </c>
      <c r="G198" s="4"/>
      <c r="H198" s="26"/>
      <c r="I198" s="26"/>
    </row>
    <row r="199" spans="1:9" x14ac:dyDescent="0.3">
      <c r="A199" s="15"/>
      <c r="B199" s="3"/>
      <c r="C199" s="3"/>
      <c r="D199" s="3"/>
      <c r="E199" s="4"/>
      <c r="F199" s="5" t="str">
        <f t="shared" si="3"/>
        <v/>
      </c>
      <c r="G199" s="4"/>
      <c r="H199" s="26"/>
      <c r="I199" s="26"/>
    </row>
    <row r="200" spans="1:9" x14ac:dyDescent="0.3">
      <c r="A200" s="15"/>
      <c r="B200" s="3"/>
      <c r="C200" s="3"/>
      <c r="D200" s="3"/>
      <c r="E200" s="4"/>
      <c r="F200" s="5" t="str">
        <f t="shared" si="3"/>
        <v/>
      </c>
      <c r="G200" s="4"/>
      <c r="H200" s="26"/>
      <c r="I200" s="26"/>
    </row>
    <row r="201" spans="1:9" x14ac:dyDescent="0.3">
      <c r="A201" s="15"/>
      <c r="B201" s="3"/>
      <c r="C201" s="3"/>
      <c r="D201" s="3"/>
      <c r="E201" s="4"/>
      <c r="F201" s="5" t="str">
        <f t="shared" si="3"/>
        <v/>
      </c>
      <c r="G201" s="4"/>
      <c r="H201" s="26"/>
      <c r="I201" s="26"/>
    </row>
    <row r="202" spans="1:9" x14ac:dyDescent="0.3">
      <c r="A202" s="15"/>
      <c r="B202" s="3"/>
      <c r="C202" s="3"/>
      <c r="D202" s="3"/>
      <c r="E202" s="4"/>
      <c r="F202" s="5" t="str">
        <f t="shared" si="3"/>
        <v/>
      </c>
      <c r="G202" s="4"/>
      <c r="H202" s="26"/>
      <c r="I202" s="26"/>
    </row>
    <row r="203" spans="1:9" x14ac:dyDescent="0.3">
      <c r="A203" s="15"/>
      <c r="B203" s="3"/>
      <c r="C203" s="3"/>
      <c r="D203" s="3"/>
      <c r="E203" s="4"/>
      <c r="F203" s="5" t="str">
        <f t="shared" si="3"/>
        <v/>
      </c>
      <c r="G203" s="4"/>
      <c r="H203" s="26"/>
      <c r="I203" s="26"/>
    </row>
    <row r="204" spans="1:9" x14ac:dyDescent="0.3">
      <c r="A204" s="15"/>
      <c r="B204" s="3"/>
      <c r="C204" s="3"/>
      <c r="D204" s="3"/>
      <c r="E204" s="4"/>
      <c r="F204" s="5" t="str">
        <f t="shared" si="3"/>
        <v/>
      </c>
      <c r="G204" s="4"/>
      <c r="H204" s="26"/>
      <c r="I204" s="26"/>
    </row>
    <row r="205" spans="1:9" x14ac:dyDescent="0.3">
      <c r="A205" s="15"/>
      <c r="B205" s="3"/>
      <c r="C205" s="3"/>
      <c r="D205" s="3"/>
      <c r="E205" s="4"/>
      <c r="F205" s="5" t="str">
        <f t="shared" si="3"/>
        <v/>
      </c>
      <c r="G205" s="4"/>
      <c r="H205" s="26"/>
      <c r="I205" s="26"/>
    </row>
    <row r="206" spans="1:9" x14ac:dyDescent="0.3">
      <c r="A206" s="15"/>
      <c r="B206" s="3"/>
      <c r="C206" s="3"/>
      <c r="D206" s="3"/>
      <c r="E206" s="4"/>
      <c r="F206" s="5" t="str">
        <f t="shared" si="3"/>
        <v/>
      </c>
      <c r="G206" s="4"/>
      <c r="H206" s="26"/>
      <c r="I206" s="26"/>
    </row>
    <row r="207" spans="1:9" x14ac:dyDescent="0.3">
      <c r="A207" s="15"/>
      <c r="B207" s="3"/>
      <c r="C207" s="3"/>
      <c r="D207" s="3"/>
      <c r="E207" s="4"/>
      <c r="F207" s="5" t="str">
        <f t="shared" si="3"/>
        <v/>
      </c>
      <c r="G207" s="4"/>
      <c r="H207" s="26"/>
      <c r="I207" s="26"/>
    </row>
    <row r="208" spans="1:9" x14ac:dyDescent="0.3">
      <c r="A208" s="15"/>
      <c r="B208" s="3"/>
      <c r="C208" s="3"/>
      <c r="D208" s="3"/>
      <c r="E208" s="4"/>
      <c r="F208" s="5" t="str">
        <f t="shared" si="3"/>
        <v/>
      </c>
      <c r="G208" s="4"/>
      <c r="H208" s="26"/>
      <c r="I208" s="26"/>
    </row>
    <row r="209" spans="1:9" x14ac:dyDescent="0.3">
      <c r="A209" s="15"/>
      <c r="B209" s="3"/>
      <c r="C209" s="3"/>
      <c r="D209" s="3"/>
      <c r="E209" s="4"/>
      <c r="F209" s="5" t="str">
        <f t="shared" si="3"/>
        <v/>
      </c>
      <c r="G209" s="4"/>
      <c r="H209" s="26"/>
      <c r="I209" s="26"/>
    </row>
    <row r="210" spans="1:9" x14ac:dyDescent="0.3">
      <c r="A210" s="15"/>
      <c r="B210" s="3"/>
      <c r="C210" s="3"/>
      <c r="D210" s="3"/>
      <c r="E210" s="4"/>
      <c r="F210" s="5" t="str">
        <f t="shared" si="3"/>
        <v/>
      </c>
      <c r="G210" s="4"/>
      <c r="H210" s="26"/>
      <c r="I210" s="26"/>
    </row>
    <row r="211" spans="1:9" x14ac:dyDescent="0.3">
      <c r="A211" s="15"/>
      <c r="B211" s="3"/>
      <c r="C211" s="3"/>
      <c r="D211" s="3"/>
      <c r="E211" s="4"/>
      <c r="F211" s="5" t="str">
        <f t="shared" si="3"/>
        <v/>
      </c>
      <c r="G211" s="4"/>
      <c r="H211" s="26"/>
      <c r="I211" s="26"/>
    </row>
    <row r="212" spans="1:9" x14ac:dyDescent="0.3">
      <c r="A212" s="15"/>
      <c r="B212" s="3"/>
      <c r="C212" s="3"/>
      <c r="D212" s="3"/>
      <c r="E212" s="4"/>
      <c r="F212" s="5" t="str">
        <f t="shared" si="3"/>
        <v/>
      </c>
      <c r="G212" s="4"/>
      <c r="H212" s="26"/>
      <c r="I212" s="26"/>
    </row>
    <row r="213" spans="1:9" x14ac:dyDescent="0.3">
      <c r="A213" s="15"/>
      <c r="B213" s="3"/>
      <c r="C213" s="3"/>
      <c r="D213" s="3"/>
      <c r="E213" s="4"/>
      <c r="F213" s="5" t="str">
        <f t="shared" si="3"/>
        <v/>
      </c>
      <c r="G213" s="4"/>
      <c r="H213" s="26"/>
      <c r="I213" s="26"/>
    </row>
    <row r="214" spans="1:9" x14ac:dyDescent="0.3">
      <c r="A214" s="15"/>
      <c r="B214" s="3"/>
      <c r="C214" s="3"/>
      <c r="D214" s="3"/>
      <c r="E214" s="4"/>
      <c r="F214" s="5" t="str">
        <f t="shared" si="3"/>
        <v/>
      </c>
      <c r="G214" s="4"/>
      <c r="H214" s="26"/>
      <c r="I214" s="26"/>
    </row>
    <row r="215" spans="1:9" x14ac:dyDescent="0.3">
      <c r="A215" s="15"/>
      <c r="B215" s="3"/>
      <c r="C215" s="3"/>
      <c r="D215" s="3"/>
      <c r="E215" s="4"/>
      <c r="F215" s="5" t="str">
        <f t="shared" si="3"/>
        <v/>
      </c>
      <c r="G215" s="4"/>
      <c r="H215" s="26"/>
      <c r="I215" s="26"/>
    </row>
    <row r="216" spans="1:9" x14ac:dyDescent="0.3">
      <c r="A216" s="15"/>
      <c r="B216" s="3"/>
      <c r="C216" s="3"/>
      <c r="D216" s="3"/>
      <c r="E216" s="4"/>
      <c r="F216" s="5" t="str">
        <f t="shared" si="3"/>
        <v/>
      </c>
      <c r="G216" s="4"/>
      <c r="H216" s="26"/>
      <c r="I216" s="26"/>
    </row>
    <row r="217" spans="1:9" x14ac:dyDescent="0.3">
      <c r="A217" s="15"/>
      <c r="B217" s="3"/>
      <c r="C217" s="3"/>
      <c r="D217" s="3"/>
      <c r="E217" s="4"/>
      <c r="F217" s="5" t="str">
        <f t="shared" si="3"/>
        <v/>
      </c>
      <c r="G217" s="4"/>
      <c r="H217" s="26"/>
      <c r="I217" s="26"/>
    </row>
    <row r="218" spans="1:9" x14ac:dyDescent="0.3">
      <c r="A218" s="15"/>
      <c r="B218" s="3"/>
      <c r="C218" s="3"/>
      <c r="D218" s="3"/>
      <c r="E218" s="4"/>
      <c r="F218" s="5" t="str">
        <f t="shared" si="3"/>
        <v/>
      </c>
      <c r="G218" s="4"/>
      <c r="H218" s="26"/>
      <c r="I218" s="26"/>
    </row>
    <row r="219" spans="1:9" x14ac:dyDescent="0.3">
      <c r="A219" s="15"/>
      <c r="B219" s="3"/>
      <c r="C219" s="3"/>
      <c r="D219" s="3"/>
      <c r="E219" s="4"/>
      <c r="F219" s="5" t="str">
        <f t="shared" si="3"/>
        <v/>
      </c>
      <c r="G219" s="4"/>
      <c r="H219" s="26"/>
      <c r="I219" s="26"/>
    </row>
    <row r="220" spans="1:9" x14ac:dyDescent="0.3">
      <c r="A220" s="15"/>
      <c r="B220" s="3"/>
      <c r="C220" s="3"/>
      <c r="D220" s="3"/>
      <c r="E220" s="4"/>
      <c r="F220" s="5" t="str">
        <f t="shared" si="3"/>
        <v/>
      </c>
      <c r="G220" s="4"/>
      <c r="H220" s="26"/>
      <c r="I220" s="26"/>
    </row>
    <row r="221" spans="1:9" x14ac:dyDescent="0.3">
      <c r="A221" s="15"/>
      <c r="B221" s="3"/>
      <c r="C221" s="3"/>
      <c r="D221" s="3"/>
      <c r="E221" s="4"/>
      <c r="F221" s="5" t="str">
        <f t="shared" si="3"/>
        <v/>
      </c>
      <c r="G221" s="4"/>
      <c r="H221" s="26"/>
      <c r="I221" s="26"/>
    </row>
    <row r="222" spans="1:9" x14ac:dyDescent="0.3">
      <c r="A222" s="15"/>
      <c r="B222" s="3"/>
      <c r="C222" s="3"/>
      <c r="D222" s="3"/>
      <c r="E222" s="4"/>
      <c r="F222" s="5" t="str">
        <f t="shared" si="3"/>
        <v/>
      </c>
      <c r="G222" s="4"/>
      <c r="H222" s="26"/>
      <c r="I222" s="26"/>
    </row>
    <row r="223" spans="1:9" x14ac:dyDescent="0.3">
      <c r="A223" s="15"/>
      <c r="B223" s="3"/>
      <c r="C223" s="3"/>
      <c r="D223" s="3"/>
      <c r="E223" s="4"/>
      <c r="F223" s="5" t="str">
        <f t="shared" si="3"/>
        <v/>
      </c>
      <c r="G223" s="4"/>
      <c r="H223" s="26"/>
      <c r="I223" s="26"/>
    </row>
    <row r="224" spans="1:9" x14ac:dyDescent="0.3">
      <c r="A224" s="15"/>
      <c r="B224" s="3"/>
      <c r="C224" s="3"/>
      <c r="D224" s="3"/>
      <c r="E224" s="4"/>
      <c r="F224" s="5" t="str">
        <f t="shared" si="3"/>
        <v/>
      </c>
      <c r="G224" s="4"/>
      <c r="H224" s="26"/>
      <c r="I224" s="26"/>
    </row>
    <row r="225" spans="1:9" x14ac:dyDescent="0.3">
      <c r="A225" s="15"/>
      <c r="B225" s="3"/>
      <c r="C225" s="3"/>
      <c r="D225" s="3"/>
      <c r="E225" s="4"/>
      <c r="F225" s="5" t="str">
        <f t="shared" si="3"/>
        <v/>
      </c>
      <c r="G225" s="4"/>
      <c r="H225" s="26"/>
      <c r="I225" s="26"/>
    </row>
    <row r="226" spans="1:9" x14ac:dyDescent="0.3">
      <c r="A226" s="15"/>
      <c r="B226" s="3"/>
      <c r="C226" s="3"/>
      <c r="D226" s="3"/>
      <c r="E226" s="4"/>
      <c r="F226" s="5" t="str">
        <f t="shared" si="3"/>
        <v/>
      </c>
      <c r="G226" s="4"/>
      <c r="H226" s="26"/>
      <c r="I226" s="26"/>
    </row>
    <row r="227" spans="1:9" x14ac:dyDescent="0.3">
      <c r="A227" s="15"/>
      <c r="B227" s="3"/>
      <c r="C227" s="3"/>
      <c r="D227" s="3"/>
      <c r="E227" s="4"/>
      <c r="F227" s="5" t="str">
        <f t="shared" si="3"/>
        <v/>
      </c>
      <c r="G227" s="4"/>
      <c r="H227" s="26"/>
      <c r="I227" s="26"/>
    </row>
    <row r="228" spans="1:9" x14ac:dyDescent="0.3">
      <c r="A228" s="15"/>
      <c r="B228" s="3"/>
      <c r="C228" s="3"/>
      <c r="D228" s="3"/>
      <c r="E228" s="4"/>
      <c r="F228" s="5" t="str">
        <f t="shared" si="3"/>
        <v/>
      </c>
      <c r="G228" s="4"/>
      <c r="H228" s="26"/>
      <c r="I228" s="26"/>
    </row>
    <row r="229" spans="1:9" x14ac:dyDescent="0.3">
      <c r="A229" s="15"/>
      <c r="B229" s="3"/>
      <c r="C229" s="3"/>
      <c r="D229" s="3"/>
      <c r="E229" s="4"/>
      <c r="F229" s="5" t="str">
        <f t="shared" si="3"/>
        <v/>
      </c>
      <c r="G229" s="4"/>
      <c r="H229" s="26"/>
      <c r="I229" s="26"/>
    </row>
    <row r="230" spans="1:9" x14ac:dyDescent="0.3">
      <c r="A230" s="15"/>
      <c r="B230" s="3"/>
      <c r="C230" s="3"/>
      <c r="D230" s="3"/>
      <c r="E230" s="4"/>
      <c r="F230" s="5" t="str">
        <f t="shared" si="3"/>
        <v/>
      </c>
      <c r="G230" s="4"/>
      <c r="H230" s="26"/>
      <c r="I230" s="26"/>
    </row>
    <row r="231" spans="1:9" x14ac:dyDescent="0.3">
      <c r="A231" s="15"/>
      <c r="B231" s="3"/>
      <c r="C231" s="3"/>
      <c r="D231" s="3"/>
      <c r="E231" s="4"/>
      <c r="F231" s="5" t="str">
        <f t="shared" si="3"/>
        <v/>
      </c>
      <c r="G231" s="4"/>
      <c r="H231" s="26"/>
      <c r="I231" s="26"/>
    </row>
    <row r="232" spans="1:9" x14ac:dyDescent="0.3">
      <c r="A232" s="15"/>
      <c r="B232" s="3"/>
      <c r="C232" s="3"/>
      <c r="D232" s="3"/>
      <c r="E232" s="4"/>
      <c r="F232" s="5" t="str">
        <f t="shared" si="3"/>
        <v/>
      </c>
      <c r="G232" s="4"/>
      <c r="H232" s="26"/>
      <c r="I232" s="26"/>
    </row>
    <row r="233" spans="1:9" x14ac:dyDescent="0.3">
      <c r="A233" s="15"/>
      <c r="B233" s="3"/>
      <c r="C233" s="3"/>
      <c r="D233" s="3"/>
      <c r="E233" s="4"/>
      <c r="F233" s="5" t="str">
        <f t="shared" si="3"/>
        <v/>
      </c>
      <c r="G233" s="4"/>
      <c r="H233" s="26"/>
      <c r="I233" s="26"/>
    </row>
    <row r="234" spans="1:9" x14ac:dyDescent="0.3">
      <c r="A234" s="15"/>
      <c r="B234" s="3"/>
      <c r="C234" s="3"/>
      <c r="D234" s="3"/>
      <c r="E234" s="4"/>
      <c r="F234" s="5" t="str">
        <f t="shared" si="3"/>
        <v/>
      </c>
      <c r="G234" s="4"/>
      <c r="H234" s="26"/>
      <c r="I234" s="26"/>
    </row>
    <row r="235" spans="1:9" x14ac:dyDescent="0.3">
      <c r="A235" s="15"/>
      <c r="B235" s="3"/>
      <c r="C235" s="3"/>
      <c r="D235" s="3"/>
      <c r="E235" s="4"/>
      <c r="F235" s="5" t="str">
        <f t="shared" si="3"/>
        <v/>
      </c>
      <c r="G235" s="4"/>
      <c r="H235" s="26"/>
      <c r="I235" s="26"/>
    </row>
    <row r="236" spans="1:9" x14ac:dyDescent="0.3">
      <c r="A236" s="15"/>
      <c r="B236" s="3"/>
      <c r="C236" s="3"/>
      <c r="D236" s="3"/>
      <c r="E236" s="4"/>
      <c r="F236" s="5" t="str">
        <f t="shared" si="3"/>
        <v/>
      </c>
      <c r="G236" s="4"/>
      <c r="H236" s="26"/>
      <c r="I236" s="26"/>
    </row>
    <row r="237" spans="1:9" x14ac:dyDescent="0.3">
      <c r="A237" s="15"/>
      <c r="B237" s="3"/>
      <c r="C237" s="3"/>
      <c r="D237" s="3"/>
      <c r="E237" s="4"/>
      <c r="F237" s="5" t="str">
        <f t="shared" si="3"/>
        <v/>
      </c>
      <c r="G237" s="4"/>
      <c r="H237" s="26"/>
      <c r="I237" s="26"/>
    </row>
    <row r="238" spans="1:9" x14ac:dyDescent="0.3">
      <c r="A238" s="15"/>
      <c r="B238" s="3"/>
      <c r="C238" s="3"/>
      <c r="D238" s="3"/>
      <c r="E238" s="4"/>
      <c r="F238" s="5" t="str">
        <f t="shared" si="3"/>
        <v/>
      </c>
      <c r="G238" s="4"/>
      <c r="H238" s="26"/>
      <c r="I238" s="26"/>
    </row>
    <row r="239" spans="1:9" x14ac:dyDescent="0.3">
      <c r="A239" s="15"/>
      <c r="B239" s="3"/>
      <c r="C239" s="3"/>
      <c r="D239" s="3"/>
      <c r="E239" s="4"/>
      <c r="F239" s="5" t="str">
        <f t="shared" si="3"/>
        <v/>
      </c>
      <c r="G239" s="4"/>
      <c r="H239" s="26"/>
      <c r="I239" s="26"/>
    </row>
    <row r="240" spans="1:9" x14ac:dyDescent="0.3">
      <c r="A240" s="15"/>
      <c r="B240" s="3"/>
      <c r="C240" s="3"/>
      <c r="D240" s="3"/>
      <c r="E240" s="4"/>
      <c r="F240" s="5" t="str">
        <f t="shared" si="3"/>
        <v/>
      </c>
      <c r="G240" s="4"/>
      <c r="H240" s="26"/>
      <c r="I240" s="26"/>
    </row>
    <row r="241" spans="1:9" x14ac:dyDescent="0.3">
      <c r="A241" s="15"/>
      <c r="B241" s="3"/>
      <c r="C241" s="3"/>
      <c r="D241" s="3"/>
      <c r="E241" s="4"/>
      <c r="F241" s="5" t="str">
        <f t="shared" si="3"/>
        <v/>
      </c>
      <c r="G241" s="4"/>
      <c r="H241" s="26"/>
      <c r="I241" s="26"/>
    </row>
    <row r="242" spans="1:9" x14ac:dyDescent="0.3">
      <c r="A242" s="15"/>
      <c r="B242" s="3"/>
      <c r="C242" s="3"/>
      <c r="D242" s="3"/>
      <c r="E242" s="4"/>
      <c r="F242" s="5" t="str">
        <f t="shared" si="3"/>
        <v/>
      </c>
      <c r="G242" s="4"/>
      <c r="H242" s="26"/>
      <c r="I242" s="26"/>
    </row>
    <row r="243" spans="1:9" x14ac:dyDescent="0.3">
      <c r="A243" s="15"/>
      <c r="B243" s="3"/>
      <c r="C243" s="3"/>
      <c r="D243" s="3"/>
      <c r="E243" s="4"/>
      <c r="F243" s="5" t="str">
        <f t="shared" si="3"/>
        <v/>
      </c>
      <c r="G243" s="4"/>
      <c r="H243" s="26"/>
      <c r="I243" s="26"/>
    </row>
    <row r="244" spans="1:9" x14ac:dyDescent="0.3">
      <c r="A244" s="15"/>
      <c r="B244" s="3"/>
      <c r="C244" s="3"/>
      <c r="D244" s="3"/>
      <c r="E244" s="4"/>
      <c r="F244" s="5" t="str">
        <f t="shared" si="3"/>
        <v/>
      </c>
      <c r="G244" s="4"/>
      <c r="H244" s="26"/>
      <c r="I244" s="26"/>
    </row>
    <row r="245" spans="1:9" x14ac:dyDescent="0.3">
      <c r="A245" s="15"/>
      <c r="B245" s="3"/>
      <c r="C245" s="3"/>
      <c r="D245" s="3"/>
      <c r="E245" s="4"/>
      <c r="F245" s="5" t="str">
        <f t="shared" si="3"/>
        <v/>
      </c>
      <c r="G245" s="4"/>
      <c r="H245" s="26"/>
      <c r="I245" s="26"/>
    </row>
    <row r="246" spans="1:9" x14ac:dyDescent="0.3">
      <c r="A246" s="15"/>
      <c r="B246" s="3"/>
      <c r="C246" s="3"/>
      <c r="D246" s="3"/>
      <c r="E246" s="4"/>
      <c r="F246" s="5" t="str">
        <f t="shared" si="3"/>
        <v/>
      </c>
      <c r="G246" s="4"/>
      <c r="H246" s="26"/>
      <c r="I246" s="26"/>
    </row>
    <row r="247" spans="1:9" x14ac:dyDescent="0.3">
      <c r="A247" s="15"/>
      <c r="B247" s="3"/>
      <c r="C247" s="3"/>
      <c r="D247" s="3"/>
      <c r="E247" s="4"/>
      <c r="F247" s="5" t="str">
        <f t="shared" si="3"/>
        <v/>
      </c>
      <c r="G247" s="4"/>
      <c r="H247" s="26"/>
      <c r="I247" s="26"/>
    </row>
    <row r="248" spans="1:9" x14ac:dyDescent="0.3">
      <c r="A248" s="15"/>
      <c r="B248" s="3"/>
      <c r="C248" s="3"/>
      <c r="D248" s="3"/>
      <c r="E248" s="4"/>
      <c r="F248" s="5" t="str">
        <f t="shared" si="3"/>
        <v/>
      </c>
      <c r="G248" s="4"/>
      <c r="H248" s="26"/>
      <c r="I248" s="26"/>
    </row>
    <row r="249" spans="1:9" x14ac:dyDescent="0.3">
      <c r="A249" s="15"/>
      <c r="B249" s="3"/>
      <c r="C249" s="3"/>
      <c r="D249" s="3"/>
      <c r="E249" s="4"/>
      <c r="F249" s="5" t="str">
        <f t="shared" si="3"/>
        <v/>
      </c>
      <c r="G249" s="4"/>
      <c r="H249" s="26"/>
      <c r="I249" s="26"/>
    </row>
    <row r="250" spans="1:9" x14ac:dyDescent="0.3">
      <c r="A250" s="15"/>
      <c r="B250" s="3"/>
      <c r="C250" s="3"/>
      <c r="D250" s="3"/>
      <c r="E250" s="4"/>
      <c r="F250" s="5" t="str">
        <f t="shared" si="3"/>
        <v/>
      </c>
      <c r="G250" s="4"/>
      <c r="H250" s="26"/>
      <c r="I250" s="26"/>
    </row>
    <row r="251" spans="1:9" x14ac:dyDescent="0.3">
      <c r="A251" s="15"/>
      <c r="B251" s="3"/>
      <c r="C251" s="3"/>
      <c r="D251" s="3"/>
      <c r="E251" s="4"/>
      <c r="F251" s="5" t="str">
        <f t="shared" si="3"/>
        <v/>
      </c>
      <c r="G251" s="4"/>
      <c r="H251" s="26"/>
      <c r="I251" s="26"/>
    </row>
    <row r="252" spans="1:9" x14ac:dyDescent="0.3">
      <c r="A252" s="15"/>
      <c r="B252" s="3"/>
      <c r="C252" s="3"/>
      <c r="D252" s="3"/>
      <c r="E252" s="4"/>
      <c r="F252" s="5" t="str">
        <f t="shared" si="3"/>
        <v/>
      </c>
      <c r="G252" s="4"/>
      <c r="H252" s="26"/>
      <c r="I252" s="26"/>
    </row>
    <row r="253" spans="1:9" x14ac:dyDescent="0.3">
      <c r="A253" s="15"/>
      <c r="B253" s="3"/>
      <c r="C253" s="3"/>
      <c r="D253" s="3"/>
      <c r="E253" s="4"/>
      <c r="F253" s="5" t="str">
        <f t="shared" si="3"/>
        <v/>
      </c>
      <c r="G253" s="4"/>
      <c r="H253" s="26"/>
      <c r="I253" s="26"/>
    </row>
    <row r="254" spans="1:9" x14ac:dyDescent="0.3">
      <c r="A254" s="15"/>
      <c r="B254" s="3"/>
      <c r="C254" s="3"/>
      <c r="D254" s="3"/>
      <c r="E254" s="4"/>
      <c r="F254" s="5" t="str">
        <f t="shared" si="3"/>
        <v/>
      </c>
      <c r="G254" s="4"/>
      <c r="H254" s="26"/>
      <c r="I254" s="26"/>
    </row>
    <row r="255" spans="1:9" x14ac:dyDescent="0.3">
      <c r="A255" s="15"/>
      <c r="B255" s="3"/>
      <c r="C255" s="3"/>
      <c r="D255" s="3"/>
      <c r="E255" s="4"/>
      <c r="F255" s="5" t="str">
        <f t="shared" si="3"/>
        <v/>
      </c>
      <c r="G255" s="4"/>
      <c r="H255" s="26"/>
      <c r="I255" s="26"/>
    </row>
    <row r="256" spans="1:9" x14ac:dyDescent="0.3">
      <c r="A256" s="15"/>
      <c r="B256" s="3"/>
      <c r="C256" s="3"/>
      <c r="D256" s="3"/>
      <c r="E256" s="4"/>
      <c r="F256" s="5" t="str">
        <f t="shared" si="3"/>
        <v/>
      </c>
      <c r="G256" s="4"/>
      <c r="H256" s="26"/>
      <c r="I256" s="26"/>
    </row>
    <row r="257" spans="1:9" x14ac:dyDescent="0.3">
      <c r="A257" s="15"/>
      <c r="B257" s="3"/>
      <c r="C257" s="3"/>
      <c r="D257" s="3"/>
      <c r="E257" s="4"/>
      <c r="F257" s="5" t="str">
        <f t="shared" si="3"/>
        <v/>
      </c>
      <c r="G257" s="4"/>
      <c r="H257" s="26"/>
      <c r="I257" s="26"/>
    </row>
    <row r="258" spans="1:9" x14ac:dyDescent="0.3">
      <c r="A258" s="15"/>
      <c r="B258" s="3"/>
      <c r="C258" s="3"/>
      <c r="D258" s="3"/>
      <c r="E258" s="4"/>
      <c r="F258" s="5" t="str">
        <f t="shared" si="3"/>
        <v/>
      </c>
      <c r="G258" s="4"/>
      <c r="H258" s="26"/>
      <c r="I258" s="26"/>
    </row>
    <row r="259" spans="1:9" x14ac:dyDescent="0.3">
      <c r="A259" s="15"/>
      <c r="B259" s="3"/>
      <c r="C259" s="3"/>
      <c r="D259" s="3"/>
      <c r="E259" s="4"/>
      <c r="F259" s="5" t="str">
        <f t="shared" si="3"/>
        <v/>
      </c>
      <c r="G259" s="4"/>
      <c r="H259" s="26"/>
      <c r="I259" s="26"/>
    </row>
    <row r="260" spans="1:9" x14ac:dyDescent="0.3">
      <c r="A260" s="15"/>
      <c r="B260" s="3"/>
      <c r="C260" s="3"/>
      <c r="D260" s="3"/>
      <c r="E260" s="4"/>
      <c r="F260" s="5" t="str">
        <f t="shared" ref="F260:F323" si="4">IF(OR(D260="", E260=""), "", D260*E260)</f>
        <v/>
      </c>
      <c r="G260" s="4"/>
      <c r="H260" s="26"/>
      <c r="I260" s="26"/>
    </row>
    <row r="261" spans="1:9" x14ac:dyDescent="0.3">
      <c r="A261" s="15"/>
      <c r="B261" s="3"/>
      <c r="C261" s="3"/>
      <c r="D261" s="3"/>
      <c r="E261" s="4"/>
      <c r="F261" s="5" t="str">
        <f t="shared" si="4"/>
        <v/>
      </c>
      <c r="G261" s="4"/>
      <c r="H261" s="26"/>
      <c r="I261" s="26"/>
    </row>
    <row r="262" spans="1:9" x14ac:dyDescent="0.3">
      <c r="A262" s="15"/>
      <c r="B262" s="3"/>
      <c r="C262" s="3"/>
      <c r="D262" s="3"/>
      <c r="E262" s="4"/>
      <c r="F262" s="5" t="str">
        <f t="shared" si="4"/>
        <v/>
      </c>
      <c r="G262" s="4"/>
      <c r="H262" s="26"/>
      <c r="I262" s="26"/>
    </row>
    <row r="263" spans="1:9" x14ac:dyDescent="0.3">
      <c r="A263" s="15"/>
      <c r="B263" s="3"/>
      <c r="C263" s="3"/>
      <c r="D263" s="3"/>
      <c r="E263" s="4"/>
      <c r="F263" s="5" t="str">
        <f t="shared" si="4"/>
        <v/>
      </c>
      <c r="G263" s="4"/>
      <c r="H263" s="26"/>
      <c r="I263" s="26"/>
    </row>
    <row r="264" spans="1:9" x14ac:dyDescent="0.3">
      <c r="A264" s="15"/>
      <c r="B264" s="3"/>
      <c r="C264" s="3"/>
      <c r="D264" s="3"/>
      <c r="E264" s="4"/>
      <c r="F264" s="5" t="str">
        <f t="shared" si="4"/>
        <v/>
      </c>
      <c r="G264" s="4"/>
      <c r="H264" s="26"/>
      <c r="I264" s="26"/>
    </row>
    <row r="265" spans="1:9" x14ac:dyDescent="0.3">
      <c r="A265" s="15"/>
      <c r="B265" s="3"/>
      <c r="C265" s="3"/>
      <c r="D265" s="3"/>
      <c r="E265" s="4"/>
      <c r="F265" s="5" t="str">
        <f t="shared" si="4"/>
        <v/>
      </c>
      <c r="G265" s="4"/>
      <c r="H265" s="26"/>
      <c r="I265" s="26"/>
    </row>
    <row r="266" spans="1:9" x14ac:dyDescent="0.3">
      <c r="A266" s="15"/>
      <c r="B266" s="3"/>
      <c r="C266" s="3"/>
      <c r="D266" s="3"/>
      <c r="E266" s="4"/>
      <c r="F266" s="5" t="str">
        <f t="shared" si="4"/>
        <v/>
      </c>
      <c r="G266" s="4"/>
      <c r="H266" s="26"/>
      <c r="I266" s="26"/>
    </row>
    <row r="267" spans="1:9" x14ac:dyDescent="0.3">
      <c r="A267" s="15"/>
      <c r="B267" s="3"/>
      <c r="C267" s="3"/>
      <c r="D267" s="3"/>
      <c r="E267" s="4"/>
      <c r="F267" s="5" t="str">
        <f t="shared" si="4"/>
        <v/>
      </c>
      <c r="G267" s="4"/>
      <c r="H267" s="26"/>
      <c r="I267" s="26"/>
    </row>
    <row r="268" spans="1:9" x14ac:dyDescent="0.3">
      <c r="A268" s="15"/>
      <c r="B268" s="3"/>
      <c r="C268" s="3"/>
      <c r="D268" s="3"/>
      <c r="E268" s="4"/>
      <c r="F268" s="5" t="str">
        <f t="shared" si="4"/>
        <v/>
      </c>
      <c r="G268" s="4"/>
      <c r="H268" s="26"/>
      <c r="I268" s="26"/>
    </row>
    <row r="269" spans="1:9" x14ac:dyDescent="0.3">
      <c r="A269" s="15"/>
      <c r="B269" s="3"/>
      <c r="C269" s="3"/>
      <c r="D269" s="3"/>
      <c r="E269" s="4"/>
      <c r="F269" s="5" t="str">
        <f t="shared" si="4"/>
        <v/>
      </c>
      <c r="G269" s="4"/>
      <c r="H269" s="26"/>
      <c r="I269" s="26"/>
    </row>
    <row r="270" spans="1:9" x14ac:dyDescent="0.3">
      <c r="A270" s="15"/>
      <c r="B270" s="3"/>
      <c r="C270" s="3"/>
      <c r="D270" s="3"/>
      <c r="E270" s="4"/>
      <c r="F270" s="5" t="str">
        <f t="shared" si="4"/>
        <v/>
      </c>
      <c r="G270" s="4"/>
      <c r="H270" s="26"/>
      <c r="I270" s="26"/>
    </row>
    <row r="271" spans="1:9" x14ac:dyDescent="0.3">
      <c r="A271" s="15"/>
      <c r="B271" s="3"/>
      <c r="C271" s="3"/>
      <c r="D271" s="3"/>
      <c r="E271" s="4"/>
      <c r="F271" s="5" t="str">
        <f t="shared" si="4"/>
        <v/>
      </c>
      <c r="G271" s="4"/>
      <c r="H271" s="26"/>
      <c r="I271" s="26"/>
    </row>
    <row r="272" spans="1:9" x14ac:dyDescent="0.3">
      <c r="A272" s="15"/>
      <c r="B272" s="3"/>
      <c r="C272" s="3"/>
      <c r="D272" s="3"/>
      <c r="E272" s="4"/>
      <c r="F272" s="5" t="str">
        <f t="shared" si="4"/>
        <v/>
      </c>
      <c r="G272" s="4"/>
      <c r="H272" s="26"/>
      <c r="I272" s="26"/>
    </row>
    <row r="273" spans="1:9" x14ac:dyDescent="0.3">
      <c r="A273" s="15"/>
      <c r="B273" s="3"/>
      <c r="C273" s="3"/>
      <c r="D273" s="3"/>
      <c r="E273" s="4"/>
      <c r="F273" s="5" t="str">
        <f t="shared" si="4"/>
        <v/>
      </c>
      <c r="G273" s="4"/>
      <c r="H273" s="26"/>
      <c r="I273" s="26"/>
    </row>
    <row r="274" spans="1:9" x14ac:dyDescent="0.3">
      <c r="A274" s="15"/>
      <c r="B274" s="3"/>
      <c r="C274" s="3"/>
      <c r="D274" s="3"/>
      <c r="E274" s="4"/>
      <c r="F274" s="5" t="str">
        <f t="shared" si="4"/>
        <v/>
      </c>
      <c r="G274" s="4"/>
      <c r="H274" s="26"/>
      <c r="I274" s="26"/>
    </row>
    <row r="275" spans="1:9" x14ac:dyDescent="0.3">
      <c r="A275" s="15"/>
      <c r="B275" s="3"/>
      <c r="C275" s="3"/>
      <c r="D275" s="3"/>
      <c r="E275" s="4"/>
      <c r="F275" s="5" t="str">
        <f t="shared" si="4"/>
        <v/>
      </c>
      <c r="G275" s="4"/>
      <c r="H275" s="26"/>
      <c r="I275" s="26"/>
    </row>
    <row r="276" spans="1:9" x14ac:dyDescent="0.3">
      <c r="A276" s="15"/>
      <c r="B276" s="3"/>
      <c r="C276" s="3"/>
      <c r="D276" s="3"/>
      <c r="E276" s="4"/>
      <c r="F276" s="5" t="str">
        <f t="shared" si="4"/>
        <v/>
      </c>
      <c r="G276" s="4"/>
      <c r="H276" s="26"/>
      <c r="I276" s="26"/>
    </row>
    <row r="277" spans="1:9" x14ac:dyDescent="0.3">
      <c r="A277" s="15"/>
      <c r="B277" s="3"/>
      <c r="C277" s="3"/>
      <c r="D277" s="3"/>
      <c r="E277" s="4"/>
      <c r="F277" s="5" t="str">
        <f t="shared" si="4"/>
        <v/>
      </c>
      <c r="G277" s="4"/>
      <c r="H277" s="26"/>
      <c r="I277" s="26"/>
    </row>
    <row r="278" spans="1:9" x14ac:dyDescent="0.3">
      <c r="A278" s="15"/>
      <c r="B278" s="3"/>
      <c r="C278" s="3"/>
      <c r="D278" s="3"/>
      <c r="E278" s="4"/>
      <c r="F278" s="5" t="str">
        <f t="shared" si="4"/>
        <v/>
      </c>
      <c r="G278" s="4"/>
      <c r="H278" s="26"/>
      <c r="I278" s="26"/>
    </row>
    <row r="279" spans="1:9" x14ac:dyDescent="0.3">
      <c r="A279" s="15"/>
      <c r="B279" s="3"/>
      <c r="C279" s="3"/>
      <c r="D279" s="3"/>
      <c r="E279" s="4"/>
      <c r="F279" s="5" t="str">
        <f t="shared" si="4"/>
        <v/>
      </c>
      <c r="G279" s="4"/>
      <c r="H279" s="26"/>
      <c r="I279" s="26"/>
    </row>
    <row r="280" spans="1:9" x14ac:dyDescent="0.3">
      <c r="A280" s="15"/>
      <c r="B280" s="3"/>
      <c r="C280" s="3"/>
      <c r="D280" s="3"/>
      <c r="E280" s="4"/>
      <c r="F280" s="5" t="str">
        <f t="shared" si="4"/>
        <v/>
      </c>
      <c r="G280" s="4"/>
      <c r="H280" s="26"/>
      <c r="I280" s="26"/>
    </row>
    <row r="281" spans="1:9" x14ac:dyDescent="0.3">
      <c r="A281" s="15"/>
      <c r="B281" s="3"/>
      <c r="C281" s="3"/>
      <c r="D281" s="3"/>
      <c r="E281" s="4"/>
      <c r="F281" s="5" t="str">
        <f t="shared" si="4"/>
        <v/>
      </c>
      <c r="G281" s="4"/>
      <c r="H281" s="26"/>
      <c r="I281" s="26"/>
    </row>
    <row r="282" spans="1:9" x14ac:dyDescent="0.3">
      <c r="A282" s="15"/>
      <c r="B282" s="3"/>
      <c r="C282" s="3"/>
      <c r="D282" s="3"/>
      <c r="E282" s="4"/>
      <c r="F282" s="5" t="str">
        <f t="shared" si="4"/>
        <v/>
      </c>
      <c r="G282" s="4"/>
      <c r="H282" s="26"/>
      <c r="I282" s="26"/>
    </row>
    <row r="283" spans="1:9" x14ac:dyDescent="0.3">
      <c r="A283" s="15"/>
      <c r="B283" s="3"/>
      <c r="C283" s="3"/>
      <c r="D283" s="3"/>
      <c r="E283" s="4"/>
      <c r="F283" s="5" t="str">
        <f t="shared" si="4"/>
        <v/>
      </c>
      <c r="G283" s="4"/>
      <c r="H283" s="26"/>
      <c r="I283" s="26"/>
    </row>
    <row r="284" spans="1:9" x14ac:dyDescent="0.3">
      <c r="A284" s="15"/>
      <c r="B284" s="3"/>
      <c r="C284" s="3"/>
      <c r="D284" s="3"/>
      <c r="E284" s="4"/>
      <c r="F284" s="5" t="str">
        <f t="shared" si="4"/>
        <v/>
      </c>
      <c r="G284" s="4"/>
      <c r="H284" s="26"/>
      <c r="I284" s="26"/>
    </row>
    <row r="285" spans="1:9" x14ac:dyDescent="0.3">
      <c r="A285" s="15"/>
      <c r="B285" s="3"/>
      <c r="C285" s="3"/>
      <c r="D285" s="3"/>
      <c r="E285" s="4"/>
      <c r="F285" s="5" t="str">
        <f t="shared" si="4"/>
        <v/>
      </c>
      <c r="G285" s="4"/>
      <c r="H285" s="26"/>
      <c r="I285" s="26"/>
    </row>
    <row r="286" spans="1:9" x14ac:dyDescent="0.3">
      <c r="A286" s="15"/>
      <c r="B286" s="3"/>
      <c r="C286" s="3"/>
      <c r="D286" s="3"/>
      <c r="E286" s="4"/>
      <c r="F286" s="5" t="str">
        <f t="shared" si="4"/>
        <v/>
      </c>
      <c r="G286" s="4"/>
      <c r="H286" s="26"/>
      <c r="I286" s="26"/>
    </row>
    <row r="287" spans="1:9" x14ac:dyDescent="0.3">
      <c r="A287" s="15"/>
      <c r="B287" s="3"/>
      <c r="C287" s="3"/>
      <c r="D287" s="3"/>
      <c r="E287" s="4"/>
      <c r="F287" s="5" t="str">
        <f t="shared" si="4"/>
        <v/>
      </c>
      <c r="G287" s="4"/>
      <c r="H287" s="26"/>
      <c r="I287" s="26"/>
    </row>
    <row r="288" spans="1:9" x14ac:dyDescent="0.3">
      <c r="A288" s="15"/>
      <c r="B288" s="3"/>
      <c r="C288" s="3"/>
      <c r="D288" s="3"/>
      <c r="E288" s="4"/>
      <c r="F288" s="5" t="str">
        <f t="shared" si="4"/>
        <v/>
      </c>
      <c r="G288" s="4"/>
      <c r="H288" s="26"/>
      <c r="I288" s="26"/>
    </row>
    <row r="289" spans="1:9" x14ac:dyDescent="0.3">
      <c r="A289" s="15"/>
      <c r="B289" s="3"/>
      <c r="C289" s="3"/>
      <c r="D289" s="3"/>
      <c r="E289" s="4"/>
      <c r="F289" s="5" t="str">
        <f t="shared" si="4"/>
        <v/>
      </c>
      <c r="G289" s="4"/>
      <c r="H289" s="26"/>
      <c r="I289" s="26"/>
    </row>
    <row r="290" spans="1:9" x14ac:dyDescent="0.3">
      <c r="A290" s="15"/>
      <c r="B290" s="3"/>
      <c r="C290" s="3"/>
      <c r="D290" s="3"/>
      <c r="E290" s="4"/>
      <c r="F290" s="5" t="str">
        <f t="shared" si="4"/>
        <v/>
      </c>
      <c r="G290" s="4"/>
      <c r="H290" s="26"/>
      <c r="I290" s="26"/>
    </row>
    <row r="291" spans="1:9" x14ac:dyDescent="0.3">
      <c r="A291" s="15"/>
      <c r="B291" s="3"/>
      <c r="C291" s="3"/>
      <c r="D291" s="3"/>
      <c r="E291" s="4"/>
      <c r="F291" s="5" t="str">
        <f t="shared" si="4"/>
        <v/>
      </c>
      <c r="G291" s="4"/>
      <c r="H291" s="26"/>
      <c r="I291" s="26"/>
    </row>
    <row r="292" spans="1:9" x14ac:dyDescent="0.3">
      <c r="A292" s="15"/>
      <c r="B292" s="3"/>
      <c r="C292" s="3"/>
      <c r="D292" s="3"/>
      <c r="E292" s="4"/>
      <c r="F292" s="5" t="str">
        <f t="shared" si="4"/>
        <v/>
      </c>
      <c r="G292" s="4"/>
      <c r="H292" s="26"/>
      <c r="I292" s="26"/>
    </row>
    <row r="293" spans="1:9" x14ac:dyDescent="0.3">
      <c r="A293" s="15"/>
      <c r="B293" s="3"/>
      <c r="C293" s="3"/>
      <c r="D293" s="3"/>
      <c r="E293" s="4"/>
      <c r="F293" s="5" t="str">
        <f t="shared" si="4"/>
        <v/>
      </c>
      <c r="G293" s="4"/>
      <c r="H293" s="26"/>
      <c r="I293" s="26"/>
    </row>
    <row r="294" spans="1:9" x14ac:dyDescent="0.3">
      <c r="A294" s="15"/>
      <c r="B294" s="3"/>
      <c r="C294" s="3"/>
      <c r="D294" s="3"/>
      <c r="E294" s="4"/>
      <c r="F294" s="5" t="str">
        <f t="shared" si="4"/>
        <v/>
      </c>
      <c r="G294" s="4"/>
      <c r="H294" s="26"/>
      <c r="I294" s="26"/>
    </row>
    <row r="295" spans="1:9" x14ac:dyDescent="0.3">
      <c r="A295" s="15"/>
      <c r="B295" s="3"/>
      <c r="C295" s="3"/>
      <c r="D295" s="3"/>
      <c r="E295" s="4"/>
      <c r="F295" s="5" t="str">
        <f t="shared" si="4"/>
        <v/>
      </c>
      <c r="G295" s="4"/>
      <c r="H295" s="26"/>
      <c r="I295" s="26"/>
    </row>
    <row r="296" spans="1:9" x14ac:dyDescent="0.3">
      <c r="A296" s="15"/>
      <c r="B296" s="3"/>
      <c r="C296" s="3"/>
      <c r="D296" s="3"/>
      <c r="E296" s="4"/>
      <c r="F296" s="5" t="str">
        <f t="shared" si="4"/>
        <v/>
      </c>
      <c r="G296" s="4"/>
      <c r="H296" s="26"/>
      <c r="I296" s="26"/>
    </row>
    <row r="297" spans="1:9" x14ac:dyDescent="0.3">
      <c r="A297" s="15"/>
      <c r="B297" s="3"/>
      <c r="C297" s="3"/>
      <c r="D297" s="3"/>
      <c r="E297" s="4"/>
      <c r="F297" s="5" t="str">
        <f t="shared" si="4"/>
        <v/>
      </c>
      <c r="G297" s="4"/>
      <c r="H297" s="26"/>
      <c r="I297" s="26"/>
    </row>
    <row r="298" spans="1:9" x14ac:dyDescent="0.3">
      <c r="A298" s="15"/>
      <c r="B298" s="3"/>
      <c r="C298" s="3"/>
      <c r="D298" s="3"/>
      <c r="E298" s="4"/>
      <c r="F298" s="5" t="str">
        <f t="shared" si="4"/>
        <v/>
      </c>
      <c r="G298" s="4"/>
      <c r="H298" s="26"/>
      <c r="I298" s="26"/>
    </row>
    <row r="299" spans="1:9" x14ac:dyDescent="0.3">
      <c r="A299" s="15"/>
      <c r="B299" s="3"/>
      <c r="C299" s="3"/>
      <c r="D299" s="3"/>
      <c r="E299" s="4"/>
      <c r="F299" s="5" t="str">
        <f t="shared" si="4"/>
        <v/>
      </c>
      <c r="G299" s="4"/>
      <c r="H299" s="26"/>
      <c r="I299" s="26"/>
    </row>
    <row r="300" spans="1:9" x14ac:dyDescent="0.3">
      <c r="A300" s="15"/>
      <c r="B300" s="3"/>
      <c r="C300" s="3"/>
      <c r="D300" s="3"/>
      <c r="E300" s="4"/>
      <c r="F300" s="5" t="str">
        <f t="shared" si="4"/>
        <v/>
      </c>
      <c r="G300" s="4"/>
      <c r="H300" s="26"/>
      <c r="I300" s="26"/>
    </row>
    <row r="301" spans="1:9" x14ac:dyDescent="0.3">
      <c r="A301" s="15"/>
      <c r="B301" s="3"/>
      <c r="C301" s="3"/>
      <c r="D301" s="3"/>
      <c r="E301" s="4"/>
      <c r="F301" s="5" t="str">
        <f t="shared" si="4"/>
        <v/>
      </c>
      <c r="G301" s="4"/>
      <c r="H301" s="26"/>
      <c r="I301" s="26"/>
    </row>
    <row r="302" spans="1:9" x14ac:dyDescent="0.3">
      <c r="A302" s="15"/>
      <c r="B302" s="3"/>
      <c r="C302" s="3"/>
      <c r="D302" s="3"/>
      <c r="E302" s="4"/>
      <c r="F302" s="5" t="str">
        <f t="shared" si="4"/>
        <v/>
      </c>
      <c r="G302" s="4"/>
      <c r="H302" s="26"/>
      <c r="I302" s="26"/>
    </row>
    <row r="303" spans="1:9" x14ac:dyDescent="0.3">
      <c r="A303" s="15"/>
      <c r="B303" s="3"/>
      <c r="C303" s="3"/>
      <c r="D303" s="3"/>
      <c r="E303" s="4"/>
      <c r="F303" s="5" t="str">
        <f t="shared" si="4"/>
        <v/>
      </c>
      <c r="G303" s="4"/>
      <c r="H303" s="26"/>
      <c r="I303" s="26"/>
    </row>
    <row r="304" spans="1:9" x14ac:dyDescent="0.3">
      <c r="A304" s="15"/>
      <c r="B304" s="3"/>
      <c r="C304" s="3"/>
      <c r="D304" s="3"/>
      <c r="E304" s="4"/>
      <c r="F304" s="5" t="str">
        <f t="shared" si="4"/>
        <v/>
      </c>
      <c r="G304" s="4"/>
      <c r="H304" s="26"/>
      <c r="I304" s="26"/>
    </row>
    <row r="305" spans="1:9" x14ac:dyDescent="0.3">
      <c r="A305" s="15"/>
      <c r="B305" s="3"/>
      <c r="C305" s="3"/>
      <c r="D305" s="3"/>
      <c r="E305" s="4"/>
      <c r="F305" s="5" t="str">
        <f t="shared" si="4"/>
        <v/>
      </c>
      <c r="G305" s="4"/>
      <c r="H305" s="26"/>
      <c r="I305" s="26"/>
    </row>
    <row r="306" spans="1:9" x14ac:dyDescent="0.3">
      <c r="A306" s="15"/>
      <c r="B306" s="3"/>
      <c r="C306" s="3"/>
      <c r="D306" s="3"/>
      <c r="E306" s="4"/>
      <c r="F306" s="5" t="str">
        <f t="shared" si="4"/>
        <v/>
      </c>
      <c r="G306" s="4"/>
      <c r="H306" s="26"/>
      <c r="I306" s="26"/>
    </row>
    <row r="307" spans="1:9" x14ac:dyDescent="0.3">
      <c r="A307" s="15"/>
      <c r="B307" s="3"/>
      <c r="C307" s="3"/>
      <c r="D307" s="3"/>
      <c r="E307" s="4"/>
      <c r="F307" s="5" t="str">
        <f t="shared" si="4"/>
        <v/>
      </c>
      <c r="G307" s="4"/>
      <c r="H307" s="26"/>
      <c r="I307" s="26"/>
    </row>
    <row r="308" spans="1:9" x14ac:dyDescent="0.3">
      <c r="A308" s="15"/>
      <c r="B308" s="3"/>
      <c r="C308" s="3"/>
      <c r="D308" s="3"/>
      <c r="E308" s="4"/>
      <c r="F308" s="5" t="str">
        <f t="shared" si="4"/>
        <v/>
      </c>
      <c r="G308" s="4"/>
      <c r="H308" s="26"/>
      <c r="I308" s="26"/>
    </row>
    <row r="309" spans="1:9" x14ac:dyDescent="0.3">
      <c r="A309" s="15"/>
      <c r="B309" s="3"/>
      <c r="C309" s="3"/>
      <c r="D309" s="3"/>
      <c r="E309" s="4"/>
      <c r="F309" s="5" t="str">
        <f t="shared" si="4"/>
        <v/>
      </c>
      <c r="G309" s="4"/>
      <c r="H309" s="26"/>
      <c r="I309" s="26"/>
    </row>
    <row r="310" spans="1:9" x14ac:dyDescent="0.3">
      <c r="A310" s="15"/>
      <c r="B310" s="3"/>
      <c r="C310" s="3"/>
      <c r="D310" s="3"/>
      <c r="E310" s="4"/>
      <c r="F310" s="5" t="str">
        <f t="shared" si="4"/>
        <v/>
      </c>
      <c r="G310" s="4"/>
      <c r="H310" s="26"/>
      <c r="I310" s="26"/>
    </row>
    <row r="311" spans="1:9" x14ac:dyDescent="0.3">
      <c r="A311" s="15"/>
      <c r="B311" s="3"/>
      <c r="C311" s="3"/>
      <c r="D311" s="3"/>
      <c r="E311" s="4"/>
      <c r="F311" s="5" t="str">
        <f t="shared" si="4"/>
        <v/>
      </c>
      <c r="G311" s="4"/>
      <c r="H311" s="26"/>
      <c r="I311" s="26"/>
    </row>
    <row r="312" spans="1:9" x14ac:dyDescent="0.3">
      <c r="A312" s="15"/>
      <c r="B312" s="3"/>
      <c r="C312" s="3"/>
      <c r="D312" s="3"/>
      <c r="E312" s="4"/>
      <c r="F312" s="5" t="str">
        <f t="shared" si="4"/>
        <v/>
      </c>
      <c r="G312" s="4"/>
      <c r="H312" s="26"/>
      <c r="I312" s="26"/>
    </row>
    <row r="313" spans="1:9" x14ac:dyDescent="0.3">
      <c r="A313" s="15"/>
      <c r="B313" s="3"/>
      <c r="C313" s="3"/>
      <c r="D313" s="3"/>
      <c r="E313" s="4"/>
      <c r="F313" s="5" t="str">
        <f t="shared" si="4"/>
        <v/>
      </c>
      <c r="G313" s="4"/>
      <c r="H313" s="26"/>
      <c r="I313" s="26"/>
    </row>
    <row r="314" spans="1:9" x14ac:dyDescent="0.3">
      <c r="A314" s="15"/>
      <c r="B314" s="3"/>
      <c r="C314" s="3"/>
      <c r="D314" s="3"/>
      <c r="E314" s="4"/>
      <c r="F314" s="5" t="str">
        <f t="shared" si="4"/>
        <v/>
      </c>
      <c r="G314" s="4"/>
      <c r="H314" s="26"/>
      <c r="I314" s="26"/>
    </row>
    <row r="315" spans="1:9" x14ac:dyDescent="0.3">
      <c r="A315" s="15"/>
      <c r="B315" s="3"/>
      <c r="C315" s="3"/>
      <c r="D315" s="3"/>
      <c r="E315" s="4"/>
      <c r="F315" s="5" t="str">
        <f t="shared" si="4"/>
        <v/>
      </c>
      <c r="G315" s="4"/>
      <c r="H315" s="26"/>
      <c r="I315" s="26"/>
    </row>
    <row r="316" spans="1:9" x14ac:dyDescent="0.3">
      <c r="A316" s="15"/>
      <c r="B316" s="3"/>
      <c r="C316" s="3"/>
      <c r="D316" s="3"/>
      <c r="E316" s="4"/>
      <c r="F316" s="5" t="str">
        <f t="shared" si="4"/>
        <v/>
      </c>
      <c r="G316" s="4"/>
      <c r="H316" s="26"/>
      <c r="I316" s="26"/>
    </row>
    <row r="317" spans="1:9" x14ac:dyDescent="0.3">
      <c r="A317" s="15"/>
      <c r="B317" s="3"/>
      <c r="C317" s="3"/>
      <c r="D317" s="3"/>
      <c r="E317" s="4"/>
      <c r="F317" s="5" t="str">
        <f t="shared" si="4"/>
        <v/>
      </c>
      <c r="G317" s="4"/>
      <c r="H317" s="26"/>
      <c r="I317" s="26"/>
    </row>
    <row r="318" spans="1:9" x14ac:dyDescent="0.3">
      <c r="A318" s="15"/>
      <c r="B318" s="3"/>
      <c r="C318" s="3"/>
      <c r="D318" s="3"/>
      <c r="E318" s="4"/>
      <c r="F318" s="5" t="str">
        <f t="shared" si="4"/>
        <v/>
      </c>
      <c r="G318" s="4"/>
      <c r="H318" s="26"/>
      <c r="I318" s="26"/>
    </row>
    <row r="319" spans="1:9" x14ac:dyDescent="0.3">
      <c r="A319" s="15"/>
      <c r="B319" s="3"/>
      <c r="C319" s="3"/>
      <c r="D319" s="3"/>
      <c r="E319" s="4"/>
      <c r="F319" s="5" t="str">
        <f t="shared" si="4"/>
        <v/>
      </c>
      <c r="G319" s="4"/>
      <c r="H319" s="26"/>
      <c r="I319" s="26"/>
    </row>
    <row r="320" spans="1:9" x14ac:dyDescent="0.3">
      <c r="A320" s="15"/>
      <c r="B320" s="3"/>
      <c r="C320" s="3"/>
      <c r="D320" s="3"/>
      <c r="E320" s="4"/>
      <c r="F320" s="5" t="str">
        <f t="shared" si="4"/>
        <v/>
      </c>
      <c r="G320" s="4"/>
      <c r="H320" s="26"/>
      <c r="I320" s="26"/>
    </row>
    <row r="321" spans="1:9" x14ac:dyDescent="0.3">
      <c r="A321" s="15"/>
      <c r="B321" s="3"/>
      <c r="C321" s="3"/>
      <c r="D321" s="3"/>
      <c r="E321" s="4"/>
      <c r="F321" s="5" t="str">
        <f t="shared" si="4"/>
        <v/>
      </c>
      <c r="G321" s="4"/>
      <c r="H321" s="26"/>
      <c r="I321" s="26"/>
    </row>
    <row r="322" spans="1:9" x14ac:dyDescent="0.3">
      <c r="A322" s="15"/>
      <c r="B322" s="3"/>
      <c r="C322" s="3"/>
      <c r="D322" s="3"/>
      <c r="E322" s="4"/>
      <c r="F322" s="5" t="str">
        <f t="shared" si="4"/>
        <v/>
      </c>
      <c r="G322" s="4"/>
      <c r="H322" s="26"/>
      <c r="I322" s="26"/>
    </row>
    <row r="323" spans="1:9" x14ac:dyDescent="0.3">
      <c r="A323" s="15"/>
      <c r="B323" s="3"/>
      <c r="C323" s="3"/>
      <c r="D323" s="3"/>
      <c r="E323" s="4"/>
      <c r="F323" s="5" t="str">
        <f t="shared" si="4"/>
        <v/>
      </c>
      <c r="G323" s="4"/>
      <c r="H323" s="26"/>
      <c r="I323" s="26"/>
    </row>
    <row r="324" spans="1:9" x14ac:dyDescent="0.3">
      <c r="A324" s="15"/>
      <c r="B324" s="3"/>
      <c r="C324" s="3"/>
      <c r="D324" s="3"/>
      <c r="E324" s="4"/>
      <c r="F324" s="5" t="str">
        <f t="shared" ref="F324:F387" si="5">IF(OR(D324="", E324=""), "", D324*E324)</f>
        <v/>
      </c>
      <c r="G324" s="4"/>
      <c r="H324" s="26"/>
      <c r="I324" s="26"/>
    </row>
    <row r="325" spans="1:9" x14ac:dyDescent="0.3">
      <c r="A325" s="15"/>
      <c r="B325" s="3"/>
      <c r="C325" s="3"/>
      <c r="D325" s="3"/>
      <c r="E325" s="4"/>
      <c r="F325" s="5" t="str">
        <f t="shared" si="5"/>
        <v/>
      </c>
      <c r="G325" s="4"/>
      <c r="H325" s="26"/>
      <c r="I325" s="26"/>
    </row>
    <row r="326" spans="1:9" x14ac:dyDescent="0.3">
      <c r="A326" s="15"/>
      <c r="B326" s="3"/>
      <c r="C326" s="3"/>
      <c r="D326" s="3"/>
      <c r="E326" s="4"/>
      <c r="F326" s="5" t="str">
        <f t="shared" si="5"/>
        <v/>
      </c>
      <c r="G326" s="4"/>
      <c r="H326" s="26"/>
      <c r="I326" s="26"/>
    </row>
    <row r="327" spans="1:9" x14ac:dyDescent="0.3">
      <c r="A327" s="15"/>
      <c r="B327" s="3"/>
      <c r="C327" s="3"/>
      <c r="D327" s="3"/>
      <c r="E327" s="4"/>
      <c r="F327" s="5" t="str">
        <f t="shared" si="5"/>
        <v/>
      </c>
      <c r="G327" s="4"/>
      <c r="H327" s="26"/>
      <c r="I327" s="26"/>
    </row>
    <row r="328" spans="1:9" x14ac:dyDescent="0.3">
      <c r="A328" s="15"/>
      <c r="B328" s="3"/>
      <c r="C328" s="3"/>
      <c r="D328" s="3"/>
      <c r="E328" s="4"/>
      <c r="F328" s="5" t="str">
        <f t="shared" si="5"/>
        <v/>
      </c>
      <c r="G328" s="4"/>
      <c r="H328" s="26"/>
      <c r="I328" s="26"/>
    </row>
    <row r="329" spans="1:9" x14ac:dyDescent="0.3">
      <c r="A329" s="15"/>
      <c r="B329" s="3"/>
      <c r="C329" s="3"/>
      <c r="D329" s="3"/>
      <c r="E329" s="4"/>
      <c r="F329" s="5" t="str">
        <f t="shared" si="5"/>
        <v/>
      </c>
      <c r="G329" s="4"/>
      <c r="H329" s="26"/>
      <c r="I329" s="26"/>
    </row>
    <row r="330" spans="1:9" x14ac:dyDescent="0.3">
      <c r="A330" s="15"/>
      <c r="B330" s="3"/>
      <c r="C330" s="3"/>
      <c r="D330" s="3"/>
      <c r="E330" s="4"/>
      <c r="F330" s="5" t="str">
        <f t="shared" si="5"/>
        <v/>
      </c>
      <c r="G330" s="4"/>
      <c r="H330" s="26"/>
      <c r="I330" s="26"/>
    </row>
    <row r="331" spans="1:9" x14ac:dyDescent="0.3">
      <c r="A331" s="15"/>
      <c r="B331" s="3"/>
      <c r="C331" s="3"/>
      <c r="D331" s="3"/>
      <c r="E331" s="4"/>
      <c r="F331" s="5" t="str">
        <f t="shared" si="5"/>
        <v/>
      </c>
      <c r="G331" s="4"/>
      <c r="H331" s="26"/>
      <c r="I331" s="26"/>
    </row>
    <row r="332" spans="1:9" x14ac:dyDescent="0.3">
      <c r="A332" s="15"/>
      <c r="B332" s="3"/>
      <c r="C332" s="3"/>
      <c r="D332" s="3"/>
      <c r="E332" s="4"/>
      <c r="F332" s="5" t="str">
        <f t="shared" si="5"/>
        <v/>
      </c>
      <c r="G332" s="4"/>
      <c r="H332" s="26"/>
      <c r="I332" s="26"/>
    </row>
    <row r="333" spans="1:9" x14ac:dyDescent="0.3">
      <c r="A333" s="15"/>
      <c r="B333" s="3"/>
      <c r="C333" s="3"/>
      <c r="D333" s="3"/>
      <c r="E333" s="4"/>
      <c r="F333" s="5" t="str">
        <f t="shared" si="5"/>
        <v/>
      </c>
      <c r="G333" s="4"/>
      <c r="H333" s="26"/>
      <c r="I333" s="26"/>
    </row>
    <row r="334" spans="1:9" x14ac:dyDescent="0.3">
      <c r="A334" s="15"/>
      <c r="B334" s="3"/>
      <c r="C334" s="3"/>
      <c r="D334" s="3"/>
      <c r="E334" s="4"/>
      <c r="F334" s="5" t="str">
        <f t="shared" si="5"/>
        <v/>
      </c>
      <c r="G334" s="4"/>
      <c r="H334" s="26"/>
      <c r="I334" s="26"/>
    </row>
    <row r="335" spans="1:9" x14ac:dyDescent="0.3">
      <c r="A335" s="15"/>
      <c r="B335" s="3"/>
      <c r="C335" s="3"/>
      <c r="D335" s="3"/>
      <c r="E335" s="4"/>
      <c r="F335" s="5" t="str">
        <f t="shared" si="5"/>
        <v/>
      </c>
      <c r="G335" s="4"/>
      <c r="H335" s="26"/>
      <c r="I335" s="26"/>
    </row>
    <row r="336" spans="1:9" x14ac:dyDescent="0.3">
      <c r="A336" s="15"/>
      <c r="B336" s="3"/>
      <c r="C336" s="3"/>
      <c r="D336" s="3"/>
      <c r="E336" s="4"/>
      <c r="F336" s="5" t="str">
        <f t="shared" si="5"/>
        <v/>
      </c>
      <c r="G336" s="4"/>
      <c r="H336" s="26"/>
      <c r="I336" s="26"/>
    </row>
    <row r="337" spans="1:9" x14ac:dyDescent="0.3">
      <c r="A337" s="15"/>
      <c r="B337" s="3"/>
      <c r="C337" s="3"/>
      <c r="D337" s="3"/>
      <c r="E337" s="4"/>
      <c r="F337" s="5" t="str">
        <f t="shared" si="5"/>
        <v/>
      </c>
      <c r="G337" s="4"/>
      <c r="H337" s="26"/>
      <c r="I337" s="26"/>
    </row>
    <row r="338" spans="1:9" x14ac:dyDescent="0.3">
      <c r="A338" s="15"/>
      <c r="B338" s="3"/>
      <c r="C338" s="3"/>
      <c r="D338" s="3"/>
      <c r="E338" s="4"/>
      <c r="F338" s="5" t="str">
        <f t="shared" si="5"/>
        <v/>
      </c>
      <c r="G338" s="4"/>
      <c r="H338" s="26"/>
      <c r="I338" s="26"/>
    </row>
    <row r="339" spans="1:9" x14ac:dyDescent="0.3">
      <c r="A339" s="15"/>
      <c r="B339" s="3"/>
      <c r="C339" s="3"/>
      <c r="D339" s="3"/>
      <c r="E339" s="4"/>
      <c r="F339" s="5" t="str">
        <f t="shared" si="5"/>
        <v/>
      </c>
      <c r="G339" s="4"/>
      <c r="H339" s="26"/>
      <c r="I339" s="26"/>
    </row>
    <row r="340" spans="1:9" x14ac:dyDescent="0.3">
      <c r="A340" s="15"/>
      <c r="B340" s="3"/>
      <c r="C340" s="3"/>
      <c r="D340" s="3"/>
      <c r="E340" s="4"/>
      <c r="F340" s="5" t="str">
        <f t="shared" si="5"/>
        <v/>
      </c>
      <c r="G340" s="4"/>
      <c r="H340" s="26"/>
      <c r="I340" s="26"/>
    </row>
    <row r="341" spans="1:9" x14ac:dyDescent="0.3">
      <c r="A341" s="15"/>
      <c r="B341" s="3"/>
      <c r="C341" s="3"/>
      <c r="D341" s="3"/>
      <c r="E341" s="4"/>
      <c r="F341" s="5" t="str">
        <f t="shared" si="5"/>
        <v/>
      </c>
      <c r="G341" s="4"/>
      <c r="H341" s="26"/>
      <c r="I341" s="26"/>
    </row>
    <row r="342" spans="1:9" x14ac:dyDescent="0.3">
      <c r="A342" s="15"/>
      <c r="B342" s="3"/>
      <c r="C342" s="3"/>
      <c r="D342" s="3"/>
      <c r="E342" s="4"/>
      <c r="F342" s="5" t="str">
        <f t="shared" si="5"/>
        <v/>
      </c>
      <c r="G342" s="4"/>
      <c r="H342" s="26"/>
      <c r="I342" s="26"/>
    </row>
    <row r="343" spans="1:9" x14ac:dyDescent="0.3">
      <c r="A343" s="15"/>
      <c r="B343" s="3"/>
      <c r="C343" s="3"/>
      <c r="D343" s="3"/>
      <c r="E343" s="4"/>
      <c r="F343" s="5" t="str">
        <f t="shared" si="5"/>
        <v/>
      </c>
      <c r="G343" s="4"/>
      <c r="H343" s="26"/>
      <c r="I343" s="26"/>
    </row>
    <row r="344" spans="1:9" x14ac:dyDescent="0.3">
      <c r="A344" s="15"/>
      <c r="B344" s="3"/>
      <c r="C344" s="3"/>
      <c r="D344" s="3"/>
      <c r="E344" s="4"/>
      <c r="F344" s="5" t="str">
        <f t="shared" si="5"/>
        <v/>
      </c>
      <c r="G344" s="4"/>
      <c r="H344" s="26"/>
      <c r="I344" s="26"/>
    </row>
    <row r="345" spans="1:9" x14ac:dyDescent="0.3">
      <c r="A345" s="15"/>
      <c r="B345" s="3"/>
      <c r="C345" s="3"/>
      <c r="D345" s="3"/>
      <c r="E345" s="4"/>
      <c r="F345" s="5" t="str">
        <f t="shared" si="5"/>
        <v/>
      </c>
      <c r="G345" s="4"/>
      <c r="H345" s="26"/>
      <c r="I345" s="26"/>
    </row>
    <row r="346" spans="1:9" x14ac:dyDescent="0.3">
      <c r="A346" s="15"/>
      <c r="B346" s="3"/>
      <c r="C346" s="3"/>
      <c r="D346" s="3"/>
      <c r="E346" s="4"/>
      <c r="F346" s="5" t="str">
        <f t="shared" si="5"/>
        <v/>
      </c>
      <c r="G346" s="4"/>
      <c r="H346" s="26"/>
      <c r="I346" s="26"/>
    </row>
    <row r="347" spans="1:9" x14ac:dyDescent="0.3">
      <c r="A347" s="15"/>
      <c r="B347" s="3"/>
      <c r="C347" s="3"/>
      <c r="D347" s="3"/>
      <c r="E347" s="4"/>
      <c r="F347" s="5" t="str">
        <f t="shared" si="5"/>
        <v/>
      </c>
      <c r="G347" s="4"/>
      <c r="H347" s="26"/>
      <c r="I347" s="26"/>
    </row>
    <row r="348" spans="1:9" x14ac:dyDescent="0.3">
      <c r="A348" s="15"/>
      <c r="B348" s="3"/>
      <c r="C348" s="3"/>
      <c r="D348" s="3"/>
      <c r="E348" s="4"/>
      <c r="F348" s="5" t="str">
        <f t="shared" si="5"/>
        <v/>
      </c>
      <c r="G348" s="4"/>
      <c r="H348" s="26"/>
      <c r="I348" s="26"/>
    </row>
    <row r="349" spans="1:9" x14ac:dyDescent="0.3">
      <c r="A349" s="15"/>
      <c r="B349" s="3"/>
      <c r="C349" s="3"/>
      <c r="D349" s="3"/>
      <c r="E349" s="4"/>
      <c r="F349" s="5" t="str">
        <f t="shared" si="5"/>
        <v/>
      </c>
      <c r="G349" s="4"/>
      <c r="H349" s="26"/>
      <c r="I349" s="26"/>
    </row>
    <row r="350" spans="1:9" x14ac:dyDescent="0.3">
      <c r="A350" s="15"/>
      <c r="B350" s="3"/>
      <c r="C350" s="3"/>
      <c r="D350" s="3"/>
      <c r="E350" s="4"/>
      <c r="F350" s="5" t="str">
        <f t="shared" si="5"/>
        <v/>
      </c>
      <c r="G350" s="4"/>
      <c r="H350" s="26"/>
      <c r="I350" s="26"/>
    </row>
    <row r="351" spans="1:9" x14ac:dyDescent="0.3">
      <c r="A351" s="15"/>
      <c r="B351" s="3"/>
      <c r="C351" s="3"/>
      <c r="D351" s="3"/>
      <c r="E351" s="4"/>
      <c r="F351" s="5" t="str">
        <f t="shared" si="5"/>
        <v/>
      </c>
      <c r="G351" s="4"/>
      <c r="H351" s="26"/>
      <c r="I351" s="26"/>
    </row>
    <row r="352" spans="1:9" x14ac:dyDescent="0.3">
      <c r="A352" s="15"/>
      <c r="B352" s="3"/>
      <c r="C352" s="3"/>
      <c r="D352" s="3"/>
      <c r="E352" s="4"/>
      <c r="F352" s="5" t="str">
        <f t="shared" si="5"/>
        <v/>
      </c>
      <c r="G352" s="4"/>
      <c r="H352" s="26"/>
      <c r="I352" s="26"/>
    </row>
    <row r="353" spans="1:9" x14ac:dyDescent="0.3">
      <c r="A353" s="15"/>
      <c r="B353" s="3"/>
      <c r="C353" s="3"/>
      <c r="D353" s="3"/>
      <c r="E353" s="4"/>
      <c r="F353" s="5" t="str">
        <f t="shared" si="5"/>
        <v/>
      </c>
      <c r="G353" s="4"/>
      <c r="H353" s="26"/>
      <c r="I353" s="26"/>
    </row>
    <row r="354" spans="1:9" x14ac:dyDescent="0.3">
      <c r="A354" s="15"/>
      <c r="B354" s="3"/>
      <c r="C354" s="3"/>
      <c r="D354" s="3"/>
      <c r="E354" s="4"/>
      <c r="F354" s="5" t="str">
        <f t="shared" si="5"/>
        <v/>
      </c>
      <c r="G354" s="4"/>
      <c r="H354" s="26"/>
      <c r="I354" s="26"/>
    </row>
    <row r="355" spans="1:9" x14ac:dyDescent="0.3">
      <c r="A355" s="15"/>
      <c r="B355" s="3"/>
      <c r="C355" s="3"/>
      <c r="D355" s="3"/>
      <c r="E355" s="4"/>
      <c r="F355" s="5" t="str">
        <f t="shared" si="5"/>
        <v/>
      </c>
      <c r="G355" s="4"/>
      <c r="H355" s="26"/>
      <c r="I355" s="26"/>
    </row>
    <row r="356" spans="1:9" x14ac:dyDescent="0.3">
      <c r="A356" s="15"/>
      <c r="B356" s="3"/>
      <c r="C356" s="3"/>
      <c r="D356" s="3"/>
      <c r="E356" s="4"/>
      <c r="F356" s="5" t="str">
        <f t="shared" si="5"/>
        <v/>
      </c>
      <c r="G356" s="4"/>
      <c r="H356" s="26"/>
      <c r="I356" s="26"/>
    </row>
    <row r="357" spans="1:9" x14ac:dyDescent="0.3">
      <c r="A357" s="15"/>
      <c r="B357" s="3"/>
      <c r="C357" s="3"/>
      <c r="D357" s="3"/>
      <c r="E357" s="4"/>
      <c r="F357" s="5" t="str">
        <f t="shared" si="5"/>
        <v/>
      </c>
      <c r="G357" s="4"/>
      <c r="H357" s="26"/>
      <c r="I357" s="26"/>
    </row>
    <row r="358" spans="1:9" x14ac:dyDescent="0.3">
      <c r="A358" s="15"/>
      <c r="B358" s="3"/>
      <c r="C358" s="3"/>
      <c r="D358" s="3"/>
      <c r="E358" s="4"/>
      <c r="F358" s="5" t="str">
        <f t="shared" si="5"/>
        <v/>
      </c>
      <c r="G358" s="4"/>
      <c r="H358" s="26"/>
      <c r="I358" s="26"/>
    </row>
    <row r="359" spans="1:9" x14ac:dyDescent="0.3">
      <c r="A359" s="15"/>
      <c r="B359" s="3"/>
      <c r="C359" s="3"/>
      <c r="D359" s="3"/>
      <c r="E359" s="4"/>
      <c r="F359" s="5" t="str">
        <f t="shared" si="5"/>
        <v/>
      </c>
      <c r="G359" s="4"/>
      <c r="H359" s="26"/>
      <c r="I359" s="26"/>
    </row>
    <row r="360" spans="1:9" x14ac:dyDescent="0.3">
      <c r="A360" s="15"/>
      <c r="B360" s="3"/>
      <c r="C360" s="3"/>
      <c r="D360" s="3"/>
      <c r="E360" s="4"/>
      <c r="F360" s="5" t="str">
        <f t="shared" si="5"/>
        <v/>
      </c>
      <c r="G360" s="4"/>
      <c r="H360" s="26"/>
      <c r="I360" s="26"/>
    </row>
    <row r="361" spans="1:9" x14ac:dyDescent="0.3">
      <c r="A361" s="15"/>
      <c r="B361" s="3"/>
      <c r="C361" s="3"/>
      <c r="D361" s="3"/>
      <c r="E361" s="4"/>
      <c r="F361" s="5" t="str">
        <f t="shared" si="5"/>
        <v/>
      </c>
      <c r="G361" s="4"/>
      <c r="H361" s="26"/>
      <c r="I361" s="26"/>
    </row>
    <row r="362" spans="1:9" x14ac:dyDescent="0.3">
      <c r="A362" s="15"/>
      <c r="B362" s="3"/>
      <c r="C362" s="3"/>
      <c r="D362" s="3"/>
      <c r="E362" s="4"/>
      <c r="F362" s="5" t="str">
        <f t="shared" si="5"/>
        <v/>
      </c>
      <c r="G362" s="4"/>
      <c r="H362" s="26"/>
      <c r="I362" s="26"/>
    </row>
    <row r="363" spans="1:9" x14ac:dyDescent="0.3">
      <c r="A363" s="15"/>
      <c r="B363" s="3"/>
      <c r="C363" s="3"/>
      <c r="D363" s="3"/>
      <c r="E363" s="4"/>
      <c r="F363" s="5" t="str">
        <f t="shared" si="5"/>
        <v/>
      </c>
      <c r="G363" s="4"/>
      <c r="H363" s="26"/>
      <c r="I363" s="26"/>
    </row>
    <row r="364" spans="1:9" x14ac:dyDescent="0.3">
      <c r="A364" s="15"/>
      <c r="B364" s="3"/>
      <c r="C364" s="3"/>
      <c r="D364" s="3"/>
      <c r="E364" s="4"/>
      <c r="F364" s="5" t="str">
        <f t="shared" si="5"/>
        <v/>
      </c>
      <c r="G364" s="4"/>
      <c r="H364" s="26"/>
      <c r="I364" s="26"/>
    </row>
    <row r="365" spans="1:9" x14ac:dyDescent="0.3">
      <c r="A365" s="15"/>
      <c r="B365" s="3"/>
      <c r="C365" s="3"/>
      <c r="D365" s="3"/>
      <c r="E365" s="4"/>
      <c r="F365" s="5" t="str">
        <f t="shared" si="5"/>
        <v/>
      </c>
      <c r="G365" s="4"/>
      <c r="H365" s="26"/>
      <c r="I365" s="26"/>
    </row>
    <row r="366" spans="1:9" x14ac:dyDescent="0.3">
      <c r="A366" s="15"/>
      <c r="B366" s="3"/>
      <c r="C366" s="3"/>
      <c r="D366" s="3"/>
      <c r="E366" s="4"/>
      <c r="F366" s="5" t="str">
        <f t="shared" si="5"/>
        <v/>
      </c>
      <c r="G366" s="4"/>
      <c r="H366" s="26"/>
      <c r="I366" s="26"/>
    </row>
    <row r="367" spans="1:9" x14ac:dyDescent="0.3">
      <c r="A367" s="15"/>
      <c r="B367" s="3"/>
      <c r="C367" s="3"/>
      <c r="D367" s="3"/>
      <c r="E367" s="4"/>
      <c r="F367" s="5" t="str">
        <f t="shared" si="5"/>
        <v/>
      </c>
      <c r="G367" s="4"/>
      <c r="H367" s="26"/>
      <c r="I367" s="26"/>
    </row>
    <row r="368" spans="1:9" x14ac:dyDescent="0.3">
      <c r="A368" s="15"/>
      <c r="B368" s="3"/>
      <c r="C368" s="3"/>
      <c r="D368" s="3"/>
      <c r="E368" s="4"/>
      <c r="F368" s="5" t="str">
        <f t="shared" si="5"/>
        <v/>
      </c>
      <c r="G368" s="4"/>
      <c r="H368" s="26"/>
      <c r="I368" s="26"/>
    </row>
    <row r="369" spans="1:9" x14ac:dyDescent="0.3">
      <c r="A369" s="15"/>
      <c r="B369" s="3"/>
      <c r="C369" s="3"/>
      <c r="D369" s="3"/>
      <c r="E369" s="4"/>
      <c r="F369" s="5" t="str">
        <f t="shared" si="5"/>
        <v/>
      </c>
      <c r="G369" s="4"/>
      <c r="H369" s="26"/>
      <c r="I369" s="26"/>
    </row>
    <row r="370" spans="1:9" x14ac:dyDescent="0.3">
      <c r="A370" s="15"/>
      <c r="B370" s="3"/>
      <c r="C370" s="3"/>
      <c r="D370" s="3"/>
      <c r="E370" s="4"/>
      <c r="F370" s="5" t="str">
        <f t="shared" si="5"/>
        <v/>
      </c>
      <c r="G370" s="4"/>
      <c r="H370" s="26"/>
      <c r="I370" s="26"/>
    </row>
    <row r="371" spans="1:9" x14ac:dyDescent="0.3">
      <c r="A371" s="15"/>
      <c r="B371" s="3"/>
      <c r="C371" s="3"/>
      <c r="D371" s="3"/>
      <c r="E371" s="4"/>
      <c r="F371" s="5" t="str">
        <f t="shared" si="5"/>
        <v/>
      </c>
      <c r="G371" s="4"/>
      <c r="H371" s="26"/>
      <c r="I371" s="26"/>
    </row>
    <row r="372" spans="1:9" x14ac:dyDescent="0.3">
      <c r="A372" s="15"/>
      <c r="B372" s="3"/>
      <c r="C372" s="3"/>
      <c r="D372" s="3"/>
      <c r="E372" s="4"/>
      <c r="F372" s="5" t="str">
        <f t="shared" si="5"/>
        <v/>
      </c>
      <c r="G372" s="4"/>
      <c r="H372" s="26"/>
      <c r="I372" s="26"/>
    </row>
    <row r="373" spans="1:9" x14ac:dyDescent="0.3">
      <c r="A373" s="15"/>
      <c r="B373" s="3"/>
      <c r="C373" s="3"/>
      <c r="D373" s="3"/>
      <c r="E373" s="4"/>
      <c r="F373" s="5" t="str">
        <f t="shared" si="5"/>
        <v/>
      </c>
      <c r="G373" s="4"/>
      <c r="H373" s="26"/>
      <c r="I373" s="26"/>
    </row>
    <row r="374" spans="1:9" x14ac:dyDescent="0.3">
      <c r="A374" s="15"/>
      <c r="B374" s="3"/>
      <c r="C374" s="3"/>
      <c r="D374" s="3"/>
      <c r="E374" s="4"/>
      <c r="F374" s="5" t="str">
        <f t="shared" si="5"/>
        <v/>
      </c>
      <c r="G374" s="4"/>
      <c r="H374" s="26"/>
      <c r="I374" s="26"/>
    </row>
    <row r="375" spans="1:9" x14ac:dyDescent="0.3">
      <c r="A375" s="15"/>
      <c r="B375" s="3"/>
      <c r="C375" s="3"/>
      <c r="D375" s="3"/>
      <c r="E375" s="4"/>
      <c r="F375" s="5" t="str">
        <f t="shared" si="5"/>
        <v/>
      </c>
      <c r="G375" s="4"/>
      <c r="H375" s="26"/>
      <c r="I375" s="26"/>
    </row>
    <row r="376" spans="1:9" x14ac:dyDescent="0.3">
      <c r="A376" s="15"/>
      <c r="B376" s="3"/>
      <c r="C376" s="3"/>
      <c r="D376" s="3"/>
      <c r="E376" s="4"/>
      <c r="F376" s="5" t="str">
        <f t="shared" si="5"/>
        <v/>
      </c>
      <c r="G376" s="4"/>
      <c r="H376" s="26"/>
      <c r="I376" s="26"/>
    </row>
    <row r="377" spans="1:9" x14ac:dyDescent="0.3">
      <c r="A377" s="15"/>
      <c r="B377" s="3"/>
      <c r="C377" s="3"/>
      <c r="D377" s="3"/>
      <c r="E377" s="4"/>
      <c r="F377" s="5" t="str">
        <f t="shared" si="5"/>
        <v/>
      </c>
      <c r="G377" s="4"/>
      <c r="H377" s="26"/>
      <c r="I377" s="26"/>
    </row>
    <row r="378" spans="1:9" x14ac:dyDescent="0.3">
      <c r="A378" s="15"/>
      <c r="B378" s="3"/>
      <c r="C378" s="3"/>
      <c r="D378" s="3"/>
      <c r="E378" s="4"/>
      <c r="F378" s="5" t="str">
        <f t="shared" si="5"/>
        <v/>
      </c>
      <c r="G378" s="4"/>
      <c r="H378" s="26"/>
      <c r="I378" s="26"/>
    </row>
    <row r="379" spans="1:9" x14ac:dyDescent="0.3">
      <c r="A379" s="15"/>
      <c r="B379" s="3"/>
      <c r="C379" s="3"/>
      <c r="D379" s="3"/>
      <c r="E379" s="4"/>
      <c r="F379" s="5" t="str">
        <f t="shared" si="5"/>
        <v/>
      </c>
      <c r="G379" s="4"/>
      <c r="H379" s="26"/>
      <c r="I379" s="26"/>
    </row>
    <row r="380" spans="1:9" x14ac:dyDescent="0.3">
      <c r="A380" s="15"/>
      <c r="B380" s="3"/>
      <c r="C380" s="3"/>
      <c r="D380" s="3"/>
      <c r="E380" s="4"/>
      <c r="F380" s="5" t="str">
        <f t="shared" si="5"/>
        <v/>
      </c>
      <c r="G380" s="4"/>
      <c r="H380" s="26"/>
      <c r="I380" s="26"/>
    </row>
    <row r="381" spans="1:9" x14ac:dyDescent="0.3">
      <c r="A381" s="15"/>
      <c r="B381" s="3"/>
      <c r="C381" s="3"/>
      <c r="D381" s="3"/>
      <c r="E381" s="4"/>
      <c r="F381" s="5" t="str">
        <f t="shared" si="5"/>
        <v/>
      </c>
      <c r="G381" s="4"/>
      <c r="H381" s="26"/>
      <c r="I381" s="26"/>
    </row>
    <row r="382" spans="1:9" x14ac:dyDescent="0.3">
      <c r="A382" s="15"/>
      <c r="B382" s="3"/>
      <c r="C382" s="3"/>
      <c r="D382" s="3"/>
      <c r="E382" s="4"/>
      <c r="F382" s="5" t="str">
        <f t="shared" si="5"/>
        <v/>
      </c>
      <c r="G382" s="4"/>
      <c r="H382" s="26"/>
      <c r="I382" s="26"/>
    </row>
    <row r="383" spans="1:9" x14ac:dyDescent="0.3">
      <c r="A383" s="15"/>
      <c r="B383" s="3"/>
      <c r="C383" s="3"/>
      <c r="D383" s="3"/>
      <c r="E383" s="4"/>
      <c r="F383" s="5" t="str">
        <f t="shared" si="5"/>
        <v/>
      </c>
      <c r="G383" s="4"/>
      <c r="H383" s="26"/>
      <c r="I383" s="26"/>
    </row>
    <row r="384" spans="1:9" x14ac:dyDescent="0.3">
      <c r="A384" s="15"/>
      <c r="B384" s="3"/>
      <c r="C384" s="3"/>
      <c r="D384" s="3"/>
      <c r="E384" s="4"/>
      <c r="F384" s="5" t="str">
        <f t="shared" si="5"/>
        <v/>
      </c>
      <c r="G384" s="4"/>
      <c r="H384" s="26"/>
      <c r="I384" s="26"/>
    </row>
    <row r="385" spans="1:9" x14ac:dyDescent="0.3">
      <c r="A385" s="15"/>
      <c r="B385" s="3"/>
      <c r="C385" s="3"/>
      <c r="D385" s="3"/>
      <c r="E385" s="4"/>
      <c r="F385" s="5" t="str">
        <f t="shared" si="5"/>
        <v/>
      </c>
      <c r="G385" s="4"/>
      <c r="H385" s="26"/>
      <c r="I385" s="26"/>
    </row>
    <row r="386" spans="1:9" x14ac:dyDescent="0.3">
      <c r="A386" s="15"/>
      <c r="B386" s="3"/>
      <c r="C386" s="3"/>
      <c r="D386" s="3"/>
      <c r="E386" s="4"/>
      <c r="F386" s="5" t="str">
        <f t="shared" si="5"/>
        <v/>
      </c>
      <c r="G386" s="4"/>
      <c r="H386" s="26"/>
      <c r="I386" s="26"/>
    </row>
    <row r="387" spans="1:9" x14ac:dyDescent="0.3">
      <c r="A387" s="15"/>
      <c r="B387" s="3"/>
      <c r="C387" s="3"/>
      <c r="D387" s="3"/>
      <c r="E387" s="4"/>
      <c r="F387" s="5" t="str">
        <f t="shared" si="5"/>
        <v/>
      </c>
      <c r="G387" s="4"/>
      <c r="H387" s="26"/>
      <c r="I387" s="26"/>
    </row>
    <row r="388" spans="1:9" x14ac:dyDescent="0.3">
      <c r="A388" s="15"/>
      <c r="B388" s="3"/>
      <c r="C388" s="3"/>
      <c r="D388" s="3"/>
      <c r="E388" s="4"/>
      <c r="F388" s="5" t="str">
        <f t="shared" ref="F388:F450" si="6">IF(OR(D388="", E388=""), "", D388*E388)</f>
        <v/>
      </c>
      <c r="G388" s="4"/>
      <c r="H388" s="26"/>
      <c r="I388" s="26"/>
    </row>
    <row r="389" spans="1:9" x14ac:dyDescent="0.3">
      <c r="A389" s="15"/>
      <c r="B389" s="3"/>
      <c r="C389" s="3"/>
      <c r="D389" s="3"/>
      <c r="E389" s="4"/>
      <c r="F389" s="5" t="str">
        <f t="shared" si="6"/>
        <v/>
      </c>
      <c r="G389" s="4"/>
      <c r="H389" s="26"/>
      <c r="I389" s="26"/>
    </row>
    <row r="390" spans="1:9" x14ac:dyDescent="0.3">
      <c r="A390" s="15"/>
      <c r="B390" s="3"/>
      <c r="C390" s="3"/>
      <c r="D390" s="3"/>
      <c r="E390" s="4"/>
      <c r="F390" s="5" t="str">
        <f t="shared" si="6"/>
        <v/>
      </c>
      <c r="G390" s="4"/>
      <c r="H390" s="26"/>
      <c r="I390" s="26"/>
    </row>
    <row r="391" spans="1:9" x14ac:dyDescent="0.3">
      <c r="A391" s="15"/>
      <c r="B391" s="3"/>
      <c r="C391" s="3"/>
      <c r="D391" s="3"/>
      <c r="E391" s="4"/>
      <c r="F391" s="5" t="str">
        <f t="shared" si="6"/>
        <v/>
      </c>
      <c r="G391" s="4"/>
      <c r="H391" s="26"/>
      <c r="I391" s="26"/>
    </row>
    <row r="392" spans="1:9" x14ac:dyDescent="0.3">
      <c r="A392" s="15"/>
      <c r="B392" s="3"/>
      <c r="C392" s="3"/>
      <c r="D392" s="3"/>
      <c r="E392" s="4"/>
      <c r="F392" s="5" t="str">
        <f t="shared" si="6"/>
        <v/>
      </c>
      <c r="G392" s="4"/>
      <c r="H392" s="26"/>
      <c r="I392" s="26"/>
    </row>
    <row r="393" spans="1:9" x14ac:dyDescent="0.3">
      <c r="A393" s="15"/>
      <c r="B393" s="3"/>
      <c r="C393" s="3"/>
      <c r="D393" s="3"/>
      <c r="E393" s="4"/>
      <c r="F393" s="5" t="str">
        <f t="shared" si="6"/>
        <v/>
      </c>
      <c r="G393" s="4"/>
      <c r="H393" s="26"/>
      <c r="I393" s="26"/>
    </row>
    <row r="394" spans="1:9" x14ac:dyDescent="0.3">
      <c r="A394" s="15"/>
      <c r="B394" s="3"/>
      <c r="C394" s="3"/>
      <c r="D394" s="3"/>
      <c r="E394" s="4"/>
      <c r="F394" s="5" t="str">
        <f t="shared" si="6"/>
        <v/>
      </c>
      <c r="G394" s="4"/>
      <c r="H394" s="26"/>
      <c r="I394" s="26"/>
    </row>
    <row r="395" spans="1:9" x14ac:dyDescent="0.3">
      <c r="A395" s="15"/>
      <c r="B395" s="3"/>
      <c r="C395" s="3"/>
      <c r="D395" s="3"/>
      <c r="E395" s="4"/>
      <c r="F395" s="5" t="str">
        <f t="shared" si="6"/>
        <v/>
      </c>
      <c r="G395" s="4"/>
      <c r="H395" s="26"/>
      <c r="I395" s="26"/>
    </row>
    <row r="396" spans="1:9" x14ac:dyDescent="0.3">
      <c r="A396" s="15"/>
      <c r="B396" s="3"/>
      <c r="C396" s="3"/>
      <c r="D396" s="3"/>
      <c r="E396" s="4"/>
      <c r="F396" s="5" t="str">
        <f t="shared" si="6"/>
        <v/>
      </c>
      <c r="G396" s="4"/>
      <c r="H396" s="26"/>
      <c r="I396" s="26"/>
    </row>
    <row r="397" spans="1:9" x14ac:dyDescent="0.3">
      <c r="A397" s="15"/>
      <c r="B397" s="3"/>
      <c r="C397" s="3"/>
      <c r="D397" s="3"/>
      <c r="E397" s="4"/>
      <c r="F397" s="5" t="str">
        <f t="shared" si="6"/>
        <v/>
      </c>
      <c r="G397" s="4"/>
      <c r="H397" s="26"/>
      <c r="I397" s="26"/>
    </row>
    <row r="398" spans="1:9" x14ac:dyDescent="0.3">
      <c r="A398" s="15"/>
      <c r="B398" s="3"/>
      <c r="C398" s="3"/>
      <c r="D398" s="3"/>
      <c r="E398" s="4"/>
      <c r="F398" s="5" t="str">
        <f t="shared" si="6"/>
        <v/>
      </c>
      <c r="G398" s="4"/>
      <c r="H398" s="26"/>
      <c r="I398" s="26"/>
    </row>
    <row r="399" spans="1:9" x14ac:dyDescent="0.3">
      <c r="A399" s="15"/>
      <c r="B399" s="3"/>
      <c r="C399" s="3"/>
      <c r="D399" s="3"/>
      <c r="E399" s="4"/>
      <c r="F399" s="5" t="str">
        <f t="shared" si="6"/>
        <v/>
      </c>
      <c r="G399" s="4"/>
      <c r="H399" s="26"/>
      <c r="I399" s="26"/>
    </row>
    <row r="400" spans="1:9" x14ac:dyDescent="0.3">
      <c r="A400" s="15"/>
      <c r="B400" s="3"/>
      <c r="C400" s="3"/>
      <c r="D400" s="3"/>
      <c r="E400" s="4"/>
      <c r="F400" s="5" t="str">
        <f t="shared" si="6"/>
        <v/>
      </c>
      <c r="G400" s="4"/>
      <c r="H400" s="26"/>
      <c r="I400" s="26"/>
    </row>
    <row r="401" spans="1:9" x14ac:dyDescent="0.3">
      <c r="A401" s="15"/>
      <c r="B401" s="3"/>
      <c r="C401" s="3"/>
      <c r="D401" s="3"/>
      <c r="E401" s="4"/>
      <c r="F401" s="5" t="str">
        <f t="shared" si="6"/>
        <v/>
      </c>
      <c r="G401" s="4"/>
      <c r="H401" s="26"/>
      <c r="I401" s="26"/>
    </row>
    <row r="402" spans="1:9" x14ac:dyDescent="0.3">
      <c r="A402" s="15"/>
      <c r="B402" s="3"/>
      <c r="C402" s="3"/>
      <c r="D402" s="3"/>
      <c r="E402" s="4"/>
      <c r="F402" s="5" t="str">
        <f t="shared" si="6"/>
        <v/>
      </c>
      <c r="G402" s="4"/>
      <c r="H402" s="26"/>
      <c r="I402" s="26"/>
    </row>
    <row r="403" spans="1:9" x14ac:dyDescent="0.3">
      <c r="A403" s="15"/>
      <c r="B403" s="3"/>
      <c r="C403" s="3"/>
      <c r="D403" s="3"/>
      <c r="E403" s="4"/>
      <c r="F403" s="5" t="str">
        <f t="shared" si="6"/>
        <v/>
      </c>
      <c r="G403" s="4"/>
      <c r="H403" s="26"/>
      <c r="I403" s="26"/>
    </row>
    <row r="404" spans="1:9" x14ac:dyDescent="0.3">
      <c r="A404" s="15"/>
      <c r="B404" s="3"/>
      <c r="C404" s="3"/>
      <c r="D404" s="3"/>
      <c r="E404" s="4"/>
      <c r="F404" s="5" t="str">
        <f t="shared" si="6"/>
        <v/>
      </c>
      <c r="G404" s="4"/>
      <c r="H404" s="26"/>
      <c r="I404" s="26"/>
    </row>
    <row r="405" spans="1:9" x14ac:dyDescent="0.3">
      <c r="A405" s="15"/>
      <c r="B405" s="3"/>
      <c r="C405" s="3"/>
      <c r="D405" s="3"/>
      <c r="E405" s="4"/>
      <c r="F405" s="5" t="str">
        <f t="shared" si="6"/>
        <v/>
      </c>
      <c r="G405" s="4"/>
      <c r="H405" s="26"/>
      <c r="I405" s="26"/>
    </row>
    <row r="406" spans="1:9" x14ac:dyDescent="0.3">
      <c r="A406" s="15"/>
      <c r="B406" s="3"/>
      <c r="C406" s="3"/>
      <c r="D406" s="3"/>
      <c r="E406" s="4"/>
      <c r="F406" s="5" t="str">
        <f t="shared" si="6"/>
        <v/>
      </c>
      <c r="G406" s="4"/>
      <c r="H406" s="26"/>
      <c r="I406" s="26"/>
    </row>
    <row r="407" spans="1:9" x14ac:dyDescent="0.3">
      <c r="A407" s="15"/>
      <c r="B407" s="3"/>
      <c r="C407" s="3"/>
      <c r="D407" s="3"/>
      <c r="E407" s="4"/>
      <c r="F407" s="5" t="str">
        <f t="shared" si="6"/>
        <v/>
      </c>
      <c r="G407" s="4"/>
      <c r="H407" s="26"/>
      <c r="I407" s="26"/>
    </row>
    <row r="408" spans="1:9" x14ac:dyDescent="0.3">
      <c r="A408" s="15"/>
      <c r="B408" s="3"/>
      <c r="C408" s="3"/>
      <c r="D408" s="3"/>
      <c r="E408" s="4"/>
      <c r="F408" s="5" t="str">
        <f t="shared" si="6"/>
        <v/>
      </c>
      <c r="G408" s="4"/>
      <c r="H408" s="26"/>
      <c r="I408" s="26"/>
    </row>
    <row r="409" spans="1:9" x14ac:dyDescent="0.3">
      <c r="A409" s="15"/>
      <c r="B409" s="3"/>
      <c r="C409" s="3"/>
      <c r="D409" s="3"/>
      <c r="E409" s="4"/>
      <c r="F409" s="5" t="str">
        <f t="shared" si="6"/>
        <v/>
      </c>
      <c r="G409" s="4"/>
      <c r="H409" s="26"/>
      <c r="I409" s="26"/>
    </row>
    <row r="410" spans="1:9" x14ac:dyDescent="0.3">
      <c r="A410" s="15"/>
      <c r="B410" s="3"/>
      <c r="C410" s="3"/>
      <c r="D410" s="3"/>
      <c r="E410" s="4"/>
      <c r="F410" s="5" t="str">
        <f t="shared" si="6"/>
        <v/>
      </c>
      <c r="G410" s="4"/>
      <c r="H410" s="26"/>
      <c r="I410" s="26"/>
    </row>
    <row r="411" spans="1:9" x14ac:dyDescent="0.3">
      <c r="A411" s="15"/>
      <c r="B411" s="3"/>
      <c r="C411" s="3"/>
      <c r="D411" s="3"/>
      <c r="E411" s="4"/>
      <c r="F411" s="5" t="str">
        <f t="shared" si="6"/>
        <v/>
      </c>
      <c r="G411" s="4"/>
      <c r="H411" s="26"/>
      <c r="I411" s="26"/>
    </row>
    <row r="412" spans="1:9" x14ac:dyDescent="0.3">
      <c r="A412" s="15"/>
      <c r="B412" s="3"/>
      <c r="C412" s="3"/>
      <c r="D412" s="3"/>
      <c r="E412" s="4"/>
      <c r="F412" s="5" t="str">
        <f t="shared" si="6"/>
        <v/>
      </c>
      <c r="G412" s="4"/>
      <c r="H412" s="26"/>
      <c r="I412" s="26"/>
    </row>
    <row r="413" spans="1:9" x14ac:dyDescent="0.3">
      <c r="A413" s="15"/>
      <c r="B413" s="3"/>
      <c r="C413" s="3"/>
      <c r="D413" s="3"/>
      <c r="E413" s="4"/>
      <c r="F413" s="5" t="str">
        <f t="shared" si="6"/>
        <v/>
      </c>
      <c r="G413" s="4"/>
      <c r="H413" s="26"/>
      <c r="I413" s="26"/>
    </row>
    <row r="414" spans="1:9" x14ac:dyDescent="0.3">
      <c r="A414" s="15"/>
      <c r="B414" s="3"/>
      <c r="C414" s="3"/>
      <c r="D414" s="3"/>
      <c r="E414" s="4"/>
      <c r="F414" s="5" t="str">
        <f t="shared" si="6"/>
        <v/>
      </c>
      <c r="G414" s="4"/>
      <c r="H414" s="26"/>
      <c r="I414" s="26"/>
    </row>
    <row r="415" spans="1:9" x14ac:dyDescent="0.3">
      <c r="A415" s="15"/>
      <c r="B415" s="3"/>
      <c r="C415" s="3"/>
      <c r="D415" s="3"/>
      <c r="E415" s="4"/>
      <c r="F415" s="5" t="str">
        <f t="shared" si="6"/>
        <v/>
      </c>
      <c r="G415" s="4"/>
      <c r="H415" s="26"/>
      <c r="I415" s="26"/>
    </row>
    <row r="416" spans="1:9" x14ac:dyDescent="0.3">
      <c r="A416" s="15"/>
      <c r="B416" s="3"/>
      <c r="C416" s="3"/>
      <c r="D416" s="3"/>
      <c r="E416" s="4"/>
      <c r="F416" s="5" t="str">
        <f t="shared" si="6"/>
        <v/>
      </c>
      <c r="G416" s="4"/>
      <c r="H416" s="26"/>
      <c r="I416" s="26"/>
    </row>
    <row r="417" spans="1:9" x14ac:dyDescent="0.3">
      <c r="A417" s="15"/>
      <c r="B417" s="3"/>
      <c r="C417" s="3"/>
      <c r="D417" s="3"/>
      <c r="E417" s="4"/>
      <c r="F417" s="5" t="str">
        <f t="shared" si="6"/>
        <v/>
      </c>
      <c r="G417" s="4"/>
      <c r="H417" s="26"/>
      <c r="I417" s="26"/>
    </row>
    <row r="418" spans="1:9" x14ac:dyDescent="0.3">
      <c r="A418" s="15"/>
      <c r="B418" s="3"/>
      <c r="C418" s="3"/>
      <c r="D418" s="3"/>
      <c r="E418" s="4"/>
      <c r="F418" s="5" t="str">
        <f t="shared" si="6"/>
        <v/>
      </c>
      <c r="G418" s="4"/>
      <c r="H418" s="26"/>
      <c r="I418" s="26"/>
    </row>
    <row r="419" spans="1:9" x14ac:dyDescent="0.3">
      <c r="A419" s="15"/>
      <c r="B419" s="3"/>
      <c r="C419" s="3"/>
      <c r="D419" s="3"/>
      <c r="E419" s="4"/>
      <c r="F419" s="5" t="str">
        <f t="shared" si="6"/>
        <v/>
      </c>
      <c r="G419" s="4"/>
      <c r="H419" s="26"/>
      <c r="I419" s="26"/>
    </row>
    <row r="420" spans="1:9" x14ac:dyDescent="0.3">
      <c r="A420" s="15"/>
      <c r="B420" s="3"/>
      <c r="C420" s="3"/>
      <c r="D420" s="3"/>
      <c r="E420" s="4"/>
      <c r="F420" s="5" t="str">
        <f t="shared" si="6"/>
        <v/>
      </c>
      <c r="G420" s="4"/>
      <c r="H420" s="26"/>
      <c r="I420" s="26"/>
    </row>
    <row r="421" spans="1:9" x14ac:dyDescent="0.3">
      <c r="A421" s="15"/>
      <c r="B421" s="3"/>
      <c r="C421" s="3"/>
      <c r="D421" s="3"/>
      <c r="E421" s="4"/>
      <c r="F421" s="5" t="str">
        <f t="shared" si="6"/>
        <v/>
      </c>
      <c r="G421" s="4"/>
      <c r="H421" s="26"/>
      <c r="I421" s="26"/>
    </row>
    <row r="422" spans="1:9" x14ac:dyDescent="0.3">
      <c r="A422" s="15"/>
      <c r="B422" s="3"/>
      <c r="C422" s="3"/>
      <c r="D422" s="3"/>
      <c r="E422" s="4"/>
      <c r="F422" s="5" t="str">
        <f t="shared" si="6"/>
        <v/>
      </c>
      <c r="G422" s="4"/>
      <c r="H422" s="26"/>
      <c r="I422" s="26"/>
    </row>
    <row r="423" spans="1:9" x14ac:dyDescent="0.3">
      <c r="A423" s="15"/>
      <c r="B423" s="3"/>
      <c r="C423" s="3"/>
      <c r="D423" s="3"/>
      <c r="E423" s="4"/>
      <c r="F423" s="5" t="str">
        <f t="shared" si="6"/>
        <v/>
      </c>
      <c r="G423" s="4"/>
      <c r="H423" s="26"/>
      <c r="I423" s="26"/>
    </row>
    <row r="424" spans="1:9" x14ac:dyDescent="0.3">
      <c r="A424" s="15"/>
      <c r="B424" s="3"/>
      <c r="C424" s="3"/>
      <c r="D424" s="3"/>
      <c r="E424" s="4"/>
      <c r="F424" s="5" t="str">
        <f t="shared" si="6"/>
        <v/>
      </c>
      <c r="G424" s="4"/>
      <c r="H424" s="26"/>
      <c r="I424" s="26"/>
    </row>
    <row r="425" spans="1:9" x14ac:dyDescent="0.3">
      <c r="A425" s="15"/>
      <c r="B425" s="3"/>
      <c r="C425" s="3"/>
      <c r="D425" s="3"/>
      <c r="E425" s="4"/>
      <c r="F425" s="5" t="str">
        <f t="shared" si="6"/>
        <v/>
      </c>
      <c r="G425" s="4"/>
      <c r="H425" s="26"/>
      <c r="I425" s="26"/>
    </row>
    <row r="426" spans="1:9" x14ac:dyDescent="0.3">
      <c r="A426" s="15"/>
      <c r="B426" s="3"/>
      <c r="C426" s="3"/>
      <c r="D426" s="3"/>
      <c r="E426" s="4"/>
      <c r="F426" s="5" t="str">
        <f t="shared" si="6"/>
        <v/>
      </c>
      <c r="G426" s="4"/>
      <c r="H426" s="26"/>
      <c r="I426" s="26"/>
    </row>
    <row r="427" spans="1:9" x14ac:dyDescent="0.3">
      <c r="A427" s="15"/>
      <c r="B427" s="3"/>
      <c r="C427" s="3"/>
      <c r="D427" s="3"/>
      <c r="E427" s="4"/>
      <c r="F427" s="5" t="str">
        <f t="shared" si="6"/>
        <v/>
      </c>
      <c r="G427" s="4"/>
      <c r="H427" s="26"/>
      <c r="I427" s="26"/>
    </row>
    <row r="428" spans="1:9" x14ac:dyDescent="0.3">
      <c r="A428" s="15"/>
      <c r="B428" s="3"/>
      <c r="C428" s="3"/>
      <c r="D428" s="3"/>
      <c r="E428" s="4"/>
      <c r="F428" s="5" t="str">
        <f t="shared" si="6"/>
        <v/>
      </c>
      <c r="G428" s="4"/>
      <c r="H428" s="26"/>
      <c r="I428" s="26"/>
    </row>
    <row r="429" spans="1:9" x14ac:dyDescent="0.3">
      <c r="A429" s="15"/>
      <c r="B429" s="3"/>
      <c r="C429" s="3"/>
      <c r="D429" s="3"/>
      <c r="E429" s="4"/>
      <c r="F429" s="5" t="str">
        <f t="shared" si="6"/>
        <v/>
      </c>
      <c r="G429" s="4"/>
      <c r="H429" s="26"/>
      <c r="I429" s="26"/>
    </row>
    <row r="430" spans="1:9" x14ac:dyDescent="0.3">
      <c r="A430" s="15"/>
      <c r="B430" s="3"/>
      <c r="C430" s="3"/>
      <c r="D430" s="3"/>
      <c r="E430" s="4"/>
      <c r="F430" s="5" t="str">
        <f t="shared" si="6"/>
        <v/>
      </c>
      <c r="G430" s="4"/>
      <c r="H430" s="26"/>
      <c r="I430" s="26"/>
    </row>
    <row r="431" spans="1:9" x14ac:dyDescent="0.3">
      <c r="A431" s="15"/>
      <c r="B431" s="3"/>
      <c r="C431" s="3"/>
      <c r="D431" s="3"/>
      <c r="E431" s="4"/>
      <c r="F431" s="5" t="str">
        <f t="shared" si="6"/>
        <v/>
      </c>
      <c r="G431" s="4"/>
      <c r="H431" s="26"/>
      <c r="I431" s="26"/>
    </row>
    <row r="432" spans="1:9" x14ac:dyDescent="0.3">
      <c r="A432" s="15"/>
      <c r="B432" s="3"/>
      <c r="C432" s="3"/>
      <c r="D432" s="3"/>
      <c r="E432" s="4"/>
      <c r="F432" s="5" t="str">
        <f t="shared" si="6"/>
        <v/>
      </c>
      <c r="G432" s="4"/>
      <c r="H432" s="26"/>
      <c r="I432" s="26"/>
    </row>
    <row r="433" spans="1:9" x14ac:dyDescent="0.3">
      <c r="A433" s="15"/>
      <c r="B433" s="3"/>
      <c r="C433" s="3"/>
      <c r="D433" s="3"/>
      <c r="E433" s="4"/>
      <c r="F433" s="5" t="str">
        <f t="shared" si="6"/>
        <v/>
      </c>
      <c r="G433" s="4"/>
      <c r="H433" s="26"/>
      <c r="I433" s="26"/>
    </row>
    <row r="434" spans="1:9" x14ac:dyDescent="0.3">
      <c r="A434" s="15"/>
      <c r="B434" s="3"/>
      <c r="C434" s="3"/>
      <c r="D434" s="3"/>
      <c r="E434" s="4"/>
      <c r="F434" s="5" t="str">
        <f t="shared" si="6"/>
        <v/>
      </c>
      <c r="G434" s="4"/>
      <c r="H434" s="26"/>
      <c r="I434" s="26"/>
    </row>
    <row r="435" spans="1:9" x14ac:dyDescent="0.3">
      <c r="A435" s="15"/>
      <c r="B435" s="3"/>
      <c r="C435" s="3"/>
      <c r="D435" s="3"/>
      <c r="E435" s="4"/>
      <c r="F435" s="5" t="str">
        <f t="shared" si="6"/>
        <v/>
      </c>
      <c r="G435" s="4"/>
      <c r="H435" s="26"/>
      <c r="I435" s="26"/>
    </row>
    <row r="436" spans="1:9" x14ac:dyDescent="0.3">
      <c r="A436" s="15"/>
      <c r="B436" s="3"/>
      <c r="C436" s="3"/>
      <c r="D436" s="3"/>
      <c r="E436" s="4"/>
      <c r="F436" s="5" t="str">
        <f t="shared" si="6"/>
        <v/>
      </c>
      <c r="G436" s="4"/>
      <c r="H436" s="26"/>
      <c r="I436" s="26"/>
    </row>
    <row r="437" spans="1:9" x14ac:dyDescent="0.3">
      <c r="A437" s="15"/>
      <c r="B437" s="3"/>
      <c r="C437" s="3"/>
      <c r="D437" s="3"/>
      <c r="E437" s="4"/>
      <c r="F437" s="5" t="str">
        <f t="shared" si="6"/>
        <v/>
      </c>
      <c r="G437" s="4"/>
      <c r="H437" s="26"/>
      <c r="I437" s="26"/>
    </row>
    <row r="438" spans="1:9" x14ac:dyDescent="0.3">
      <c r="A438" s="15"/>
      <c r="B438" s="3"/>
      <c r="C438" s="3"/>
      <c r="D438" s="3"/>
      <c r="E438" s="4"/>
      <c r="F438" s="5" t="str">
        <f t="shared" si="6"/>
        <v/>
      </c>
      <c r="G438" s="4"/>
      <c r="H438" s="26"/>
      <c r="I438" s="26"/>
    </row>
    <row r="439" spans="1:9" x14ac:dyDescent="0.3">
      <c r="A439" s="15"/>
      <c r="B439" s="3"/>
      <c r="C439" s="3"/>
      <c r="D439" s="3"/>
      <c r="E439" s="4"/>
      <c r="F439" s="5" t="str">
        <f t="shared" si="6"/>
        <v/>
      </c>
      <c r="G439" s="4"/>
      <c r="H439" s="26"/>
      <c r="I439" s="26"/>
    </row>
    <row r="440" spans="1:9" x14ac:dyDescent="0.3">
      <c r="A440" s="15"/>
      <c r="B440" s="3"/>
      <c r="C440" s="3"/>
      <c r="D440" s="3"/>
      <c r="E440" s="4"/>
      <c r="F440" s="5" t="str">
        <f t="shared" si="6"/>
        <v/>
      </c>
      <c r="G440" s="4"/>
      <c r="H440" s="26"/>
      <c r="I440" s="26"/>
    </row>
    <row r="441" spans="1:9" x14ac:dyDescent="0.3">
      <c r="A441" s="15"/>
      <c r="B441" s="3"/>
      <c r="C441" s="3"/>
      <c r="D441" s="3"/>
      <c r="E441" s="4"/>
      <c r="F441" s="5" t="str">
        <f t="shared" si="6"/>
        <v/>
      </c>
      <c r="G441" s="4"/>
      <c r="H441" s="26"/>
      <c r="I441" s="26"/>
    </row>
    <row r="442" spans="1:9" x14ac:dyDescent="0.3">
      <c r="A442" s="15"/>
      <c r="B442" s="3"/>
      <c r="C442" s="3"/>
      <c r="D442" s="3"/>
      <c r="E442" s="4"/>
      <c r="F442" s="5" t="str">
        <f t="shared" si="6"/>
        <v/>
      </c>
      <c r="G442" s="4"/>
      <c r="H442" s="26"/>
      <c r="I442" s="26"/>
    </row>
    <row r="443" spans="1:9" x14ac:dyDescent="0.3">
      <c r="A443" s="15"/>
      <c r="B443" s="3"/>
      <c r="C443" s="3"/>
      <c r="D443" s="3"/>
      <c r="E443" s="4"/>
      <c r="F443" s="5" t="str">
        <f t="shared" si="6"/>
        <v/>
      </c>
      <c r="G443" s="4"/>
      <c r="H443" s="26"/>
      <c r="I443" s="26"/>
    </row>
    <row r="444" spans="1:9" x14ac:dyDescent="0.3">
      <c r="A444" s="15"/>
      <c r="B444" s="3"/>
      <c r="C444" s="3"/>
      <c r="D444" s="3"/>
      <c r="E444" s="4"/>
      <c r="F444" s="5" t="str">
        <f t="shared" si="6"/>
        <v/>
      </c>
      <c r="G444" s="4"/>
      <c r="H444" s="26"/>
      <c r="I444" s="26"/>
    </row>
    <row r="445" spans="1:9" x14ac:dyDescent="0.3">
      <c r="A445" s="15"/>
      <c r="B445" s="3"/>
      <c r="C445" s="3"/>
      <c r="D445" s="3"/>
      <c r="E445" s="4"/>
      <c r="F445" s="5" t="str">
        <f t="shared" si="6"/>
        <v/>
      </c>
      <c r="G445" s="4"/>
      <c r="H445" s="26"/>
      <c r="I445" s="26"/>
    </row>
    <row r="446" spans="1:9" x14ac:dyDescent="0.3">
      <c r="A446" s="15"/>
      <c r="B446" s="3"/>
      <c r="C446" s="3"/>
      <c r="D446" s="3"/>
      <c r="E446" s="4"/>
      <c r="F446" s="5" t="str">
        <f t="shared" si="6"/>
        <v/>
      </c>
      <c r="G446" s="4"/>
      <c r="H446" s="26"/>
      <c r="I446" s="26"/>
    </row>
    <row r="447" spans="1:9" x14ac:dyDescent="0.3">
      <c r="A447" s="15"/>
      <c r="B447" s="3"/>
      <c r="C447" s="3"/>
      <c r="D447" s="3"/>
      <c r="E447" s="4"/>
      <c r="F447" s="5" t="str">
        <f t="shared" si="6"/>
        <v/>
      </c>
      <c r="G447" s="4"/>
      <c r="H447" s="26"/>
      <c r="I447" s="26"/>
    </row>
    <row r="448" spans="1:9" x14ac:dyDescent="0.3">
      <c r="A448" s="15"/>
      <c r="B448" s="3"/>
      <c r="C448" s="3"/>
      <c r="D448" s="3"/>
      <c r="E448" s="4"/>
      <c r="F448" s="5" t="str">
        <f t="shared" si="6"/>
        <v/>
      </c>
      <c r="G448" s="4"/>
      <c r="H448" s="26"/>
      <c r="I448" s="26"/>
    </row>
    <row r="449" spans="1:9" x14ac:dyDescent="0.3">
      <c r="A449" s="15"/>
      <c r="B449" s="3"/>
      <c r="C449" s="3"/>
      <c r="D449" s="3"/>
      <c r="E449" s="4"/>
      <c r="F449" s="5" t="str">
        <f t="shared" si="6"/>
        <v/>
      </c>
      <c r="G449" s="4"/>
      <c r="H449" s="26"/>
      <c r="I449" s="26"/>
    </row>
    <row r="450" spans="1:9" x14ac:dyDescent="0.3">
      <c r="A450" s="15"/>
      <c r="B450" s="3"/>
      <c r="C450" s="3"/>
      <c r="D450" s="3"/>
      <c r="E450" s="4"/>
      <c r="F450" s="5" t="str">
        <f t="shared" si="6"/>
        <v/>
      </c>
      <c r="G450" s="4"/>
      <c r="H450" s="26"/>
      <c r="I450" s="26"/>
    </row>
  </sheetData>
  <sheetProtection sheet="1" selectLockedCells="1" sort="0" autoFilter="0"/>
  <mergeCells count="11">
    <mergeCell ref="H16:I16"/>
    <mergeCell ref="H17:I18"/>
    <mergeCell ref="H19:I21"/>
    <mergeCell ref="H22:I1048576"/>
    <mergeCell ref="H1:I3"/>
    <mergeCell ref="H13:I15"/>
    <mergeCell ref="A1:G2"/>
    <mergeCell ref="H5:I6"/>
    <mergeCell ref="H7:I9"/>
    <mergeCell ref="H10:I10"/>
    <mergeCell ref="H11:I12"/>
  </mergeCells>
  <phoneticPr fontId="2" type="noConversion"/>
  <dataValidations count="6">
    <dataValidation type="list" allowBlank="1" showInputMessage="1" showErrorMessage="1" errorTitle="Invalid Entry!" error="Invalid entry! Please select transaction type (Item received or payment made) from the drop-down list." sqref="B4:B450" xr:uid="{9A038CEF-E79F-4826-9CF8-7A354AD90281}">
      <formula1>"Item Received,Payment Made"</formula1>
    </dataValidation>
    <dataValidation type="whole" operator="greaterThan" allowBlank="1" showInputMessage="1" showErrorMessage="1" errorTitle="Invalid quantity!" error="Please enter a whole number greater than zero." sqref="D4:D450" xr:uid="{26BD3368-7775-4157-BC5A-4AC9FA2B688F}">
      <formula1>0</formula1>
    </dataValidation>
    <dataValidation type="decimal" operator="greaterThan" allowBlank="1" showInputMessage="1" showErrorMessage="1" errorTitle="Invalid Price!" error="Enter a positive unit price only." sqref="E4:E450" xr:uid="{BA2606CE-7E98-4CAD-A8E4-D8D9B728F883}">
      <formula1>0</formula1>
    </dataValidation>
    <dataValidation type="custom" operator="greaterThanOrEqual" allowBlank="1" showInputMessage="1" showErrorMessage="1" errorTitle="Invalid entry!" error="Entry must be ≥ 0_x000a_Only ‘Item Received’ or ‘Payment Made’ allowed record is allowed" sqref="G4:G450" xr:uid="{DD03AADD-24EA-4788-9B86-719E1ADDCA25}">
      <formula1>AND(G4&gt;=0, OR(ISBLANK(G4), F4=""))</formula1>
    </dataValidation>
    <dataValidation allowBlank="1" showInputMessage="1" showErrorMessage="1" promptTitle="Entry" prompt="Ensure item names match exactly with those in Inventory sheet." sqref="C4:C450" xr:uid="{309DB008-18A3-4921-8BF8-D492BEEC146F}"/>
    <dataValidation type="date" operator="greaterThan" allowBlank="1" showInputMessage="1" showErrorMessage="1" errorTitle="Invalid Entry!" error="Enter a date in yyyy-mm-dd format not before 2024-12-31." sqref="A4:A450" xr:uid="{E2922257-7AA4-46A8-9261-47C2E3CE4A8C}">
      <formula1>DATE(2024,12,31)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F9D8-3A5F-4801-9AC2-DD90EF8C817A}">
  <dimension ref="A1:K450"/>
  <sheetViews>
    <sheetView workbookViewId="0">
      <pane ySplit="3" topLeftCell="A4" activePane="bottomLeft" state="frozen"/>
      <selection pane="bottomLeft" activeCell="G14" sqref="G14"/>
    </sheetView>
  </sheetViews>
  <sheetFormatPr defaultColWidth="0" defaultRowHeight="15.6" zeroHeight="1" x14ac:dyDescent="0.3"/>
  <cols>
    <col min="1" max="1" width="17.88671875" style="1" customWidth="1"/>
    <col min="2" max="2" width="18.77734375" style="2" customWidth="1"/>
    <col min="3" max="3" width="18" style="2" customWidth="1"/>
    <col min="4" max="7" width="16.44140625" style="2" customWidth="1"/>
    <col min="8" max="9" width="16.44140625" style="2" hidden="1" customWidth="1"/>
    <col min="10" max="11" width="16.44140625" style="33" customWidth="1"/>
    <col min="12" max="16384" width="16.44140625" style="2" hidden="1"/>
  </cols>
  <sheetData>
    <row r="1" spans="1:11" customFormat="1" ht="14.4" x14ac:dyDescent="0.3">
      <c r="A1" s="20" t="s">
        <v>11</v>
      </c>
      <c r="B1" s="21"/>
      <c r="C1" s="21"/>
      <c r="D1" s="21"/>
      <c r="E1" s="21"/>
      <c r="F1" s="21"/>
      <c r="G1" s="21"/>
      <c r="J1" s="30"/>
      <c r="K1" s="30"/>
    </row>
    <row r="2" spans="1:11" ht="15.6" customHeight="1" x14ac:dyDescent="0.3">
      <c r="A2" s="22"/>
      <c r="B2" s="22"/>
      <c r="C2" s="22"/>
      <c r="D2" s="22"/>
      <c r="E2" s="22"/>
      <c r="F2" s="22"/>
      <c r="G2" s="22"/>
      <c r="J2" s="30"/>
      <c r="K2" s="30"/>
    </row>
    <row r="3" spans="1:11" ht="31.2" x14ac:dyDescent="0.3">
      <c r="A3" s="16" t="s">
        <v>41</v>
      </c>
      <c r="B3" s="17" t="s">
        <v>1</v>
      </c>
      <c r="C3" s="17" t="s">
        <v>17</v>
      </c>
      <c r="D3" s="17" t="s">
        <v>2</v>
      </c>
      <c r="E3" s="42" t="s">
        <v>13</v>
      </c>
      <c r="F3" s="16" t="s">
        <v>14</v>
      </c>
      <c r="G3" s="16" t="s">
        <v>16</v>
      </c>
      <c r="J3" s="30"/>
      <c r="K3" s="30"/>
    </row>
    <row r="4" spans="1:11" x14ac:dyDescent="0.3">
      <c r="A4" s="15"/>
      <c r="B4" s="3"/>
      <c r="C4" s="3"/>
      <c r="D4" s="3"/>
      <c r="E4" s="4"/>
      <c r="F4" s="5" t="str">
        <f t="shared" ref="F4:F67" si="0">IF(OR(D4="", E4=""), "", D4*E4)</f>
        <v/>
      </c>
      <c r="G4" s="8"/>
      <c r="H4" s="19"/>
      <c r="I4" s="19"/>
      <c r="J4" s="30"/>
      <c r="K4" s="30"/>
    </row>
    <row r="5" spans="1:11" x14ac:dyDescent="0.3">
      <c r="A5" s="15"/>
      <c r="B5" s="3"/>
      <c r="C5" s="3"/>
      <c r="D5" s="3"/>
      <c r="E5" s="4"/>
      <c r="F5" s="5" t="str">
        <f t="shared" si="0"/>
        <v/>
      </c>
      <c r="G5" s="44"/>
      <c r="H5" s="19"/>
      <c r="I5" s="19"/>
      <c r="J5" s="29" t="s">
        <v>42</v>
      </c>
      <c r="K5" s="29"/>
    </row>
    <row r="6" spans="1:11" x14ac:dyDescent="0.3">
      <c r="A6" s="15"/>
      <c r="B6" s="3"/>
      <c r="C6" s="3"/>
      <c r="D6" s="3"/>
      <c r="E6" s="4"/>
      <c r="F6" s="5" t="str">
        <f t="shared" si="0"/>
        <v/>
      </c>
      <c r="G6" s="44"/>
      <c r="H6" s="19"/>
      <c r="I6" s="19"/>
      <c r="J6" s="29"/>
      <c r="K6" s="29"/>
    </row>
    <row r="7" spans="1:11" ht="15.6" customHeight="1" x14ac:dyDescent="0.3">
      <c r="A7" s="15"/>
      <c r="B7" s="3"/>
      <c r="C7" s="3"/>
      <c r="D7" s="3"/>
      <c r="E7" s="4"/>
      <c r="F7" s="5" t="str">
        <f t="shared" si="0"/>
        <v/>
      </c>
      <c r="G7" s="44"/>
      <c r="H7" s="19"/>
      <c r="I7" s="19"/>
      <c r="J7" s="31" t="str">
        <f>"₦ "&amp;TEXT(SUM(TableY[Amount
(₦)]),"#,##0.00")</f>
        <v>₦ 0.00</v>
      </c>
      <c r="K7" s="31"/>
    </row>
    <row r="8" spans="1:11" ht="15.6" customHeight="1" x14ac:dyDescent="0.3">
      <c r="A8" s="15"/>
      <c r="B8" s="3"/>
      <c r="C8" s="3"/>
      <c r="D8" s="3"/>
      <c r="E8" s="4"/>
      <c r="F8" s="5" t="str">
        <f t="shared" si="0"/>
        <v/>
      </c>
      <c r="G8" s="44"/>
      <c r="H8" s="19"/>
      <c r="I8" s="19"/>
      <c r="J8" s="31"/>
      <c r="K8" s="31"/>
    </row>
    <row r="9" spans="1:11" x14ac:dyDescent="0.3">
      <c r="A9" s="15"/>
      <c r="B9" s="3"/>
      <c r="C9" s="3"/>
      <c r="D9" s="3"/>
      <c r="E9" s="4"/>
      <c r="F9" s="5" t="str">
        <f>IF(OR(D9="", E9=""), "", D9*E9)</f>
        <v/>
      </c>
      <c r="G9" s="44"/>
      <c r="H9" s="19"/>
      <c r="I9" s="19"/>
      <c r="J9" s="31"/>
      <c r="K9" s="31"/>
    </row>
    <row r="10" spans="1:11" x14ac:dyDescent="0.3">
      <c r="A10" s="15"/>
      <c r="B10" s="3"/>
      <c r="C10" s="3"/>
      <c r="D10" s="3"/>
      <c r="E10" s="4"/>
      <c r="F10" s="5" t="str">
        <f t="shared" si="0"/>
        <v/>
      </c>
      <c r="G10" s="44"/>
      <c r="H10" s="19"/>
      <c r="I10" s="19"/>
      <c r="J10" s="32"/>
      <c r="K10" s="32"/>
    </row>
    <row r="11" spans="1:11" x14ac:dyDescent="0.3">
      <c r="A11" s="15"/>
      <c r="B11" s="3"/>
      <c r="C11" s="3"/>
      <c r="D11" s="3"/>
      <c r="E11" s="4"/>
      <c r="F11" s="5" t="str">
        <f t="shared" si="0"/>
        <v/>
      </c>
      <c r="G11" s="44"/>
      <c r="H11" s="19"/>
      <c r="I11" s="19"/>
      <c r="J11" s="29" t="s">
        <v>43</v>
      </c>
      <c r="K11" s="29"/>
    </row>
    <row r="12" spans="1:11" x14ac:dyDescent="0.3">
      <c r="A12" s="15"/>
      <c r="B12" s="3"/>
      <c r="C12" s="3"/>
      <c r="D12" s="3"/>
      <c r="E12" s="4"/>
      <c r="F12" s="5" t="str">
        <f t="shared" si="0"/>
        <v/>
      </c>
      <c r="G12" s="44"/>
      <c r="H12" s="19"/>
      <c r="I12" s="19"/>
      <c r="J12" s="29"/>
      <c r="K12" s="29"/>
    </row>
    <row r="13" spans="1:11" x14ac:dyDescent="0.3">
      <c r="A13" s="15"/>
      <c r="B13" s="3"/>
      <c r="C13" s="3"/>
      <c r="D13" s="3"/>
      <c r="E13" s="4"/>
      <c r="F13" s="5" t="str">
        <f t="shared" si="0"/>
        <v/>
      </c>
      <c r="G13" s="44"/>
      <c r="H13" s="19"/>
      <c r="I13" s="19"/>
      <c r="J13" s="31" t="str">
        <f>"₦ "&amp;TEXT(SUM(TableY[Deposit
(₦)]),"#,##0.00")</f>
        <v>₦ 0.00</v>
      </c>
      <c r="K13" s="31"/>
    </row>
    <row r="14" spans="1:11" x14ac:dyDescent="0.3">
      <c r="A14" s="15"/>
      <c r="B14" s="3"/>
      <c r="C14" s="3"/>
      <c r="D14" s="3"/>
      <c r="E14" s="4"/>
      <c r="F14" s="5" t="str">
        <f t="shared" si="0"/>
        <v/>
      </c>
      <c r="G14" s="44"/>
      <c r="H14" s="19"/>
      <c r="I14" s="19"/>
      <c r="J14" s="31"/>
      <c r="K14" s="31"/>
    </row>
    <row r="15" spans="1:11" x14ac:dyDescent="0.3">
      <c r="A15" s="15"/>
      <c r="B15" s="3"/>
      <c r="C15" s="3"/>
      <c r="D15" s="3"/>
      <c r="E15" s="4"/>
      <c r="F15" s="5" t="str">
        <f t="shared" si="0"/>
        <v/>
      </c>
      <c r="G15" s="44"/>
      <c r="H15" s="19"/>
      <c r="I15" s="19"/>
      <c r="J15" s="31"/>
      <c r="K15" s="31"/>
    </row>
    <row r="16" spans="1:11" x14ac:dyDescent="0.3">
      <c r="A16" s="15"/>
      <c r="B16" s="3"/>
      <c r="C16" s="3"/>
      <c r="D16" s="3"/>
      <c r="E16" s="4"/>
      <c r="F16" s="5" t="str">
        <f t="shared" si="0"/>
        <v/>
      </c>
      <c r="G16" s="44"/>
      <c r="H16" s="19"/>
      <c r="I16" s="19"/>
    </row>
    <row r="17" spans="1:11" x14ac:dyDescent="0.3">
      <c r="A17" s="15"/>
      <c r="B17" s="3"/>
      <c r="C17" s="3"/>
      <c r="D17" s="3"/>
      <c r="E17" s="4"/>
      <c r="F17" s="5" t="str">
        <f t="shared" si="0"/>
        <v/>
      </c>
      <c r="G17" s="44"/>
      <c r="H17" s="19"/>
      <c r="I17" s="19"/>
      <c r="J17" s="29" t="s">
        <v>44</v>
      </c>
      <c r="K17" s="29"/>
    </row>
    <row r="18" spans="1:11" x14ac:dyDescent="0.3">
      <c r="A18" s="15"/>
      <c r="B18" s="3"/>
      <c r="C18" s="3"/>
      <c r="D18" s="3"/>
      <c r="E18" s="4"/>
      <c r="F18" s="5" t="str">
        <f t="shared" si="0"/>
        <v/>
      </c>
      <c r="G18" s="44"/>
      <c r="H18" s="19"/>
      <c r="I18" s="19"/>
      <c r="J18" s="29"/>
      <c r="K18" s="29"/>
    </row>
    <row r="19" spans="1:11" x14ac:dyDescent="0.3">
      <c r="A19" s="15"/>
      <c r="B19" s="3"/>
      <c r="C19" s="3"/>
      <c r="D19" s="3"/>
      <c r="E19" s="4"/>
      <c r="F19" s="5" t="str">
        <f t="shared" si="0"/>
        <v/>
      </c>
      <c r="G19" s="44"/>
      <c r="H19" s="19"/>
      <c r="I19" s="19"/>
      <c r="J19" s="31" t="str">
        <f>"₦ "&amp;TEXT(SUM(TableY[Deposit
(₦)])-SUM(TableY[Amount
(₦)]),"#,##0.00")</f>
        <v>₦ 0.00</v>
      </c>
      <c r="K19" s="31"/>
    </row>
    <row r="20" spans="1:11" x14ac:dyDescent="0.3">
      <c r="A20" s="15"/>
      <c r="B20" s="3"/>
      <c r="C20" s="3"/>
      <c r="D20" s="3"/>
      <c r="E20" s="4"/>
      <c r="F20" s="5" t="str">
        <f t="shared" si="0"/>
        <v/>
      </c>
      <c r="G20" s="44"/>
      <c r="H20" s="19"/>
      <c r="I20" s="19"/>
      <c r="J20" s="31"/>
      <c r="K20" s="31"/>
    </row>
    <row r="21" spans="1:11" x14ac:dyDescent="0.3">
      <c r="A21" s="15"/>
      <c r="B21" s="3"/>
      <c r="C21" s="3"/>
      <c r="D21" s="3"/>
      <c r="E21" s="4"/>
      <c r="F21" s="5" t="str">
        <f t="shared" si="0"/>
        <v/>
      </c>
      <c r="G21" s="44"/>
      <c r="H21" s="19"/>
      <c r="I21" s="19"/>
      <c r="J21" s="31"/>
      <c r="K21" s="31"/>
    </row>
    <row r="22" spans="1:11" x14ac:dyDescent="0.3">
      <c r="A22" s="15"/>
      <c r="B22" s="3"/>
      <c r="C22" s="3"/>
      <c r="D22" s="3"/>
      <c r="E22" s="4"/>
      <c r="F22" s="5" t="str">
        <f t="shared" si="0"/>
        <v/>
      </c>
      <c r="G22" s="44"/>
      <c r="H22" s="19"/>
      <c r="I22" s="19"/>
    </row>
    <row r="23" spans="1:11" x14ac:dyDescent="0.3">
      <c r="A23" s="15"/>
      <c r="B23" s="3"/>
      <c r="C23" s="3"/>
      <c r="D23" s="3"/>
      <c r="E23" s="4"/>
      <c r="F23" s="5" t="str">
        <f t="shared" si="0"/>
        <v/>
      </c>
      <c r="G23" s="44"/>
      <c r="H23" s="19"/>
      <c r="I23" s="19"/>
    </row>
    <row r="24" spans="1:11" x14ac:dyDescent="0.3">
      <c r="A24" s="15"/>
      <c r="B24" s="3"/>
      <c r="C24" s="3"/>
      <c r="D24" s="3"/>
      <c r="E24" s="4"/>
      <c r="F24" s="5" t="str">
        <f t="shared" si="0"/>
        <v/>
      </c>
      <c r="G24" s="44"/>
      <c r="H24" s="19"/>
      <c r="I24" s="19"/>
    </row>
    <row r="25" spans="1:11" x14ac:dyDescent="0.3">
      <c r="A25" s="15"/>
      <c r="B25" s="3"/>
      <c r="C25" s="3"/>
      <c r="D25" s="3"/>
      <c r="E25" s="4"/>
      <c r="F25" s="5" t="str">
        <f t="shared" si="0"/>
        <v/>
      </c>
      <c r="G25" s="44"/>
      <c r="H25" s="19"/>
      <c r="I25" s="19"/>
    </row>
    <row r="26" spans="1:11" x14ac:dyDescent="0.3">
      <c r="A26" s="15"/>
      <c r="B26" s="3"/>
      <c r="C26" s="3"/>
      <c r="D26" s="3"/>
      <c r="E26" s="4"/>
      <c r="F26" s="5" t="str">
        <f t="shared" si="0"/>
        <v/>
      </c>
      <c r="G26" s="44"/>
      <c r="H26" s="19"/>
      <c r="I26" s="19"/>
    </row>
    <row r="27" spans="1:11" x14ac:dyDescent="0.3">
      <c r="A27" s="15"/>
      <c r="B27" s="3"/>
      <c r="C27" s="3"/>
      <c r="D27" s="3"/>
      <c r="E27" s="4"/>
      <c r="F27" s="5" t="str">
        <f t="shared" si="0"/>
        <v/>
      </c>
      <c r="G27" s="44"/>
      <c r="H27" s="19"/>
      <c r="I27" s="19"/>
    </row>
    <row r="28" spans="1:11" x14ac:dyDescent="0.3">
      <c r="A28" s="15"/>
      <c r="B28" s="3"/>
      <c r="C28" s="3"/>
      <c r="D28" s="3"/>
      <c r="E28" s="4"/>
      <c r="F28" s="5" t="str">
        <f t="shared" si="0"/>
        <v/>
      </c>
      <c r="G28" s="44"/>
      <c r="H28" s="19"/>
      <c r="I28" s="19"/>
    </row>
    <row r="29" spans="1:11" x14ac:dyDescent="0.3">
      <c r="A29" s="15"/>
      <c r="B29" s="3"/>
      <c r="C29" s="3"/>
      <c r="D29" s="3"/>
      <c r="E29" s="4"/>
      <c r="F29" s="5" t="str">
        <f t="shared" si="0"/>
        <v/>
      </c>
      <c r="G29" s="44"/>
      <c r="H29" s="19"/>
      <c r="I29" s="19"/>
    </row>
    <row r="30" spans="1:11" x14ac:dyDescent="0.3">
      <c r="A30" s="15"/>
      <c r="B30" s="3"/>
      <c r="C30" s="3"/>
      <c r="D30" s="3"/>
      <c r="E30" s="4"/>
      <c r="F30" s="5" t="str">
        <f t="shared" si="0"/>
        <v/>
      </c>
      <c r="G30" s="44"/>
      <c r="H30" s="19"/>
      <c r="I30" s="19"/>
    </row>
    <row r="31" spans="1:11" x14ac:dyDescent="0.3">
      <c r="A31" s="15"/>
      <c r="B31" s="3"/>
      <c r="C31" s="3"/>
      <c r="D31" s="3"/>
      <c r="E31" s="4"/>
      <c r="F31" s="5" t="str">
        <f t="shared" si="0"/>
        <v/>
      </c>
      <c r="G31" s="44"/>
      <c r="H31" s="19"/>
      <c r="I31" s="19"/>
    </row>
    <row r="32" spans="1:11" x14ac:dyDescent="0.3">
      <c r="A32" s="15"/>
      <c r="B32" s="3"/>
      <c r="C32" s="3"/>
      <c r="D32" s="3"/>
      <c r="E32" s="4"/>
      <c r="F32" s="5" t="str">
        <f t="shared" si="0"/>
        <v/>
      </c>
      <c r="G32" s="44"/>
      <c r="H32" s="19"/>
      <c r="I32" s="19"/>
    </row>
    <row r="33" spans="1:9" x14ac:dyDescent="0.3">
      <c r="A33" s="15"/>
      <c r="B33" s="3"/>
      <c r="C33" s="3"/>
      <c r="D33" s="3"/>
      <c r="E33" s="4"/>
      <c r="F33" s="5" t="str">
        <f t="shared" si="0"/>
        <v/>
      </c>
      <c r="G33" s="44"/>
      <c r="H33" s="19"/>
      <c r="I33" s="19"/>
    </row>
    <row r="34" spans="1:9" x14ac:dyDescent="0.3">
      <c r="A34" s="15"/>
      <c r="B34" s="3"/>
      <c r="C34" s="3"/>
      <c r="D34" s="3"/>
      <c r="E34" s="4"/>
      <c r="F34" s="5" t="str">
        <f t="shared" si="0"/>
        <v/>
      </c>
      <c r="G34" s="44"/>
      <c r="H34" s="19"/>
      <c r="I34" s="19"/>
    </row>
    <row r="35" spans="1:9" x14ac:dyDescent="0.3">
      <c r="A35" s="15"/>
      <c r="B35" s="3"/>
      <c r="C35" s="3"/>
      <c r="D35" s="3"/>
      <c r="E35" s="4"/>
      <c r="F35" s="5" t="str">
        <f t="shared" si="0"/>
        <v/>
      </c>
      <c r="G35" s="44"/>
      <c r="H35" s="19"/>
      <c r="I35" s="19"/>
    </row>
    <row r="36" spans="1:9" x14ac:dyDescent="0.3">
      <c r="A36" s="15"/>
      <c r="B36" s="3"/>
      <c r="C36" s="3"/>
      <c r="D36" s="3"/>
      <c r="E36" s="4"/>
      <c r="F36" s="5" t="str">
        <f t="shared" si="0"/>
        <v/>
      </c>
      <c r="G36" s="44"/>
      <c r="H36" s="19"/>
      <c r="I36" s="19"/>
    </row>
    <row r="37" spans="1:9" x14ac:dyDescent="0.3">
      <c r="A37" s="15"/>
      <c r="B37" s="3"/>
      <c r="C37" s="3"/>
      <c r="D37" s="3"/>
      <c r="E37" s="4"/>
      <c r="F37" s="5" t="str">
        <f t="shared" si="0"/>
        <v/>
      </c>
      <c r="G37" s="44"/>
      <c r="H37" s="19"/>
      <c r="I37" s="19"/>
    </row>
    <row r="38" spans="1:9" x14ac:dyDescent="0.3">
      <c r="A38" s="15"/>
      <c r="B38" s="3"/>
      <c r="C38" s="3"/>
      <c r="D38" s="3"/>
      <c r="E38" s="4"/>
      <c r="F38" s="5" t="str">
        <f t="shared" si="0"/>
        <v/>
      </c>
      <c r="G38" s="4"/>
      <c r="H38" s="19"/>
      <c r="I38" s="19"/>
    </row>
    <row r="39" spans="1:9" x14ac:dyDescent="0.3">
      <c r="A39" s="15"/>
      <c r="B39" s="3"/>
      <c r="C39" s="3"/>
      <c r="D39" s="3"/>
      <c r="E39" s="4"/>
      <c r="F39" s="5" t="str">
        <f t="shared" si="0"/>
        <v/>
      </c>
      <c r="G39" s="4"/>
      <c r="H39" s="19"/>
      <c r="I39" s="19"/>
    </row>
    <row r="40" spans="1:9" x14ac:dyDescent="0.3">
      <c r="A40" s="15"/>
      <c r="B40" s="3"/>
      <c r="C40" s="3"/>
      <c r="D40" s="3"/>
      <c r="E40" s="4"/>
      <c r="F40" s="5" t="str">
        <f t="shared" si="0"/>
        <v/>
      </c>
      <c r="G40" s="4"/>
      <c r="H40" s="19"/>
      <c r="I40" s="19"/>
    </row>
    <row r="41" spans="1:9" x14ac:dyDescent="0.3">
      <c r="A41" s="15"/>
      <c r="B41" s="3"/>
      <c r="C41" s="3"/>
      <c r="D41" s="3"/>
      <c r="E41" s="4"/>
      <c r="F41" s="5" t="str">
        <f t="shared" si="0"/>
        <v/>
      </c>
      <c r="G41" s="4"/>
      <c r="H41" s="19"/>
      <c r="I41" s="19"/>
    </row>
    <row r="42" spans="1:9" x14ac:dyDescent="0.3">
      <c r="A42" s="15"/>
      <c r="B42" s="3"/>
      <c r="C42" s="3"/>
      <c r="D42" s="3"/>
      <c r="E42" s="4"/>
      <c r="F42" s="5" t="str">
        <f t="shared" si="0"/>
        <v/>
      </c>
      <c r="G42" s="4"/>
      <c r="H42" s="19"/>
      <c r="I42" s="19"/>
    </row>
    <row r="43" spans="1:9" x14ac:dyDescent="0.3">
      <c r="A43" s="15"/>
      <c r="B43" s="3"/>
      <c r="C43" s="3"/>
      <c r="D43" s="3"/>
      <c r="E43" s="4"/>
      <c r="F43" s="5" t="str">
        <f t="shared" si="0"/>
        <v/>
      </c>
      <c r="G43" s="4"/>
      <c r="H43" s="19"/>
      <c r="I43" s="19"/>
    </row>
    <row r="44" spans="1:9" x14ac:dyDescent="0.3">
      <c r="A44" s="15"/>
      <c r="B44" s="3"/>
      <c r="C44" s="3"/>
      <c r="D44" s="3"/>
      <c r="E44" s="4"/>
      <c r="F44" s="5" t="str">
        <f t="shared" si="0"/>
        <v/>
      </c>
      <c r="G44" s="4"/>
    </row>
    <row r="45" spans="1:9" x14ac:dyDescent="0.3">
      <c r="A45" s="15"/>
      <c r="B45" s="3"/>
      <c r="C45" s="3"/>
      <c r="D45" s="3"/>
      <c r="E45" s="4"/>
      <c r="F45" s="5" t="str">
        <f t="shared" si="0"/>
        <v/>
      </c>
      <c r="G45" s="4"/>
    </row>
    <row r="46" spans="1:9" x14ac:dyDescent="0.3">
      <c r="A46" s="15"/>
      <c r="B46" s="3"/>
      <c r="C46" s="3"/>
      <c r="D46" s="3"/>
      <c r="E46" s="4"/>
      <c r="F46" s="5" t="str">
        <f t="shared" si="0"/>
        <v/>
      </c>
      <c r="G46" s="4"/>
    </row>
    <row r="47" spans="1:9" x14ac:dyDescent="0.3">
      <c r="A47" s="15"/>
      <c r="B47" s="3"/>
      <c r="C47" s="3"/>
      <c r="D47" s="3"/>
      <c r="E47" s="4"/>
      <c r="F47" s="5" t="str">
        <f t="shared" si="0"/>
        <v/>
      </c>
      <c r="G47" s="4"/>
    </row>
    <row r="48" spans="1:9" x14ac:dyDescent="0.3">
      <c r="A48" s="15"/>
      <c r="B48" s="3"/>
      <c r="C48" s="3"/>
      <c r="D48" s="3"/>
      <c r="E48" s="4"/>
      <c r="F48" s="5" t="str">
        <f t="shared" si="0"/>
        <v/>
      </c>
      <c r="G48" s="4"/>
    </row>
    <row r="49" spans="1:7" x14ac:dyDescent="0.3">
      <c r="A49" s="15"/>
      <c r="B49" s="3"/>
      <c r="C49" s="3"/>
      <c r="D49" s="3"/>
      <c r="E49" s="4"/>
      <c r="F49" s="5" t="str">
        <f t="shared" si="0"/>
        <v/>
      </c>
      <c r="G49" s="4"/>
    </row>
    <row r="50" spans="1:7" x14ac:dyDescent="0.3">
      <c r="A50" s="15"/>
      <c r="B50" s="3"/>
      <c r="C50" s="3"/>
      <c r="D50" s="3"/>
      <c r="E50" s="4"/>
      <c r="F50" s="5" t="str">
        <f t="shared" si="0"/>
        <v/>
      </c>
      <c r="G50" s="4"/>
    </row>
    <row r="51" spans="1:7" x14ac:dyDescent="0.3">
      <c r="A51" s="15"/>
      <c r="B51" s="3"/>
      <c r="C51" s="3"/>
      <c r="D51" s="3"/>
      <c r="E51" s="4"/>
      <c r="F51" s="5" t="str">
        <f t="shared" si="0"/>
        <v/>
      </c>
      <c r="G51" s="4"/>
    </row>
    <row r="52" spans="1:7" x14ac:dyDescent="0.3">
      <c r="A52" s="15"/>
      <c r="B52" s="3"/>
      <c r="C52" s="3"/>
      <c r="D52" s="3"/>
      <c r="E52" s="4"/>
      <c r="F52" s="5" t="str">
        <f t="shared" si="0"/>
        <v/>
      </c>
      <c r="G52" s="4"/>
    </row>
    <row r="53" spans="1:7" x14ac:dyDescent="0.3">
      <c r="A53" s="15"/>
      <c r="B53" s="3"/>
      <c r="C53" s="3"/>
      <c r="D53" s="3"/>
      <c r="E53" s="4"/>
      <c r="F53" s="5" t="str">
        <f t="shared" si="0"/>
        <v/>
      </c>
      <c r="G53" s="4"/>
    </row>
    <row r="54" spans="1:7" x14ac:dyDescent="0.3">
      <c r="A54" s="15"/>
      <c r="B54" s="3"/>
      <c r="C54" s="3"/>
      <c r="D54" s="3"/>
      <c r="E54" s="4"/>
      <c r="F54" s="5" t="str">
        <f t="shared" si="0"/>
        <v/>
      </c>
      <c r="G54" s="4"/>
    </row>
    <row r="55" spans="1:7" x14ac:dyDescent="0.3">
      <c r="A55" s="15"/>
      <c r="B55" s="3"/>
      <c r="C55" s="3"/>
      <c r="D55" s="3"/>
      <c r="E55" s="4"/>
      <c r="F55" s="5" t="str">
        <f t="shared" si="0"/>
        <v/>
      </c>
      <c r="G55" s="4"/>
    </row>
    <row r="56" spans="1:7" x14ac:dyDescent="0.3">
      <c r="A56" s="15"/>
      <c r="B56" s="3"/>
      <c r="C56" s="3"/>
      <c r="D56" s="3"/>
      <c r="E56" s="4"/>
      <c r="F56" s="5" t="str">
        <f t="shared" si="0"/>
        <v/>
      </c>
      <c r="G56" s="4"/>
    </row>
    <row r="57" spans="1:7" x14ac:dyDescent="0.3">
      <c r="A57" s="15"/>
      <c r="B57" s="3"/>
      <c r="C57" s="3"/>
      <c r="D57" s="3"/>
      <c r="E57" s="4"/>
      <c r="F57" s="5" t="str">
        <f t="shared" si="0"/>
        <v/>
      </c>
      <c r="G57" s="4"/>
    </row>
    <row r="58" spans="1:7" x14ac:dyDescent="0.3">
      <c r="A58" s="15"/>
      <c r="B58" s="3"/>
      <c r="C58" s="3"/>
      <c r="D58" s="3"/>
      <c r="E58" s="4"/>
      <c r="F58" s="5" t="str">
        <f t="shared" si="0"/>
        <v/>
      </c>
      <c r="G58" s="4"/>
    </row>
    <row r="59" spans="1:7" x14ac:dyDescent="0.3">
      <c r="A59" s="15"/>
      <c r="B59" s="3"/>
      <c r="C59" s="3"/>
      <c r="D59" s="3"/>
      <c r="E59" s="4"/>
      <c r="F59" s="5" t="str">
        <f t="shared" si="0"/>
        <v/>
      </c>
      <c r="G59" s="4"/>
    </row>
    <row r="60" spans="1:7" x14ac:dyDescent="0.3">
      <c r="A60" s="15"/>
      <c r="B60" s="3"/>
      <c r="C60" s="3"/>
      <c r="D60" s="3"/>
      <c r="E60" s="4"/>
      <c r="F60" s="5" t="str">
        <f t="shared" si="0"/>
        <v/>
      </c>
      <c r="G60" s="4"/>
    </row>
    <row r="61" spans="1:7" x14ac:dyDescent="0.3">
      <c r="A61" s="15"/>
      <c r="B61" s="3"/>
      <c r="C61" s="3"/>
      <c r="D61" s="3"/>
      <c r="E61" s="4"/>
      <c r="F61" s="5" t="str">
        <f t="shared" si="0"/>
        <v/>
      </c>
      <c r="G61" s="4"/>
    </row>
    <row r="62" spans="1:7" x14ac:dyDescent="0.3">
      <c r="A62" s="15"/>
      <c r="B62" s="3"/>
      <c r="C62" s="3"/>
      <c r="D62" s="3"/>
      <c r="E62" s="4"/>
      <c r="F62" s="5" t="str">
        <f t="shared" si="0"/>
        <v/>
      </c>
      <c r="G62" s="4"/>
    </row>
    <row r="63" spans="1:7" x14ac:dyDescent="0.3">
      <c r="A63" s="15"/>
      <c r="B63" s="3"/>
      <c r="C63" s="3"/>
      <c r="D63" s="3"/>
      <c r="E63" s="4"/>
      <c r="F63" s="5" t="str">
        <f t="shared" si="0"/>
        <v/>
      </c>
      <c r="G63" s="4"/>
    </row>
    <row r="64" spans="1:7" x14ac:dyDescent="0.3">
      <c r="A64" s="15"/>
      <c r="B64" s="3"/>
      <c r="C64" s="3"/>
      <c r="D64" s="3"/>
      <c r="E64" s="4"/>
      <c r="F64" s="5" t="str">
        <f t="shared" si="0"/>
        <v/>
      </c>
      <c r="G64" s="4"/>
    </row>
    <row r="65" spans="1:7" x14ac:dyDescent="0.3">
      <c r="A65" s="15"/>
      <c r="B65" s="3"/>
      <c r="C65" s="3"/>
      <c r="D65" s="3"/>
      <c r="E65" s="4"/>
      <c r="F65" s="5" t="str">
        <f t="shared" si="0"/>
        <v/>
      </c>
      <c r="G65" s="4"/>
    </row>
    <row r="66" spans="1:7" x14ac:dyDescent="0.3">
      <c r="A66" s="15"/>
      <c r="B66" s="3"/>
      <c r="C66" s="3"/>
      <c r="D66" s="3"/>
      <c r="E66" s="4"/>
      <c r="F66" s="5" t="str">
        <f t="shared" si="0"/>
        <v/>
      </c>
      <c r="G66" s="4"/>
    </row>
    <row r="67" spans="1:7" x14ac:dyDescent="0.3">
      <c r="A67" s="15"/>
      <c r="B67" s="3"/>
      <c r="C67" s="3"/>
      <c r="D67" s="3"/>
      <c r="E67" s="4"/>
      <c r="F67" s="5" t="str">
        <f t="shared" si="0"/>
        <v/>
      </c>
      <c r="G67" s="4"/>
    </row>
    <row r="68" spans="1:7" x14ac:dyDescent="0.3">
      <c r="A68" s="15"/>
      <c r="B68" s="3"/>
      <c r="C68" s="3"/>
      <c r="D68" s="3"/>
      <c r="E68" s="4"/>
      <c r="F68" s="5" t="str">
        <f t="shared" ref="F68:F131" si="1">IF(OR(D68="", E68=""), "", D68*E68)</f>
        <v/>
      </c>
      <c r="G68" s="4"/>
    </row>
    <row r="69" spans="1:7" x14ac:dyDescent="0.3">
      <c r="A69" s="15"/>
      <c r="B69" s="3"/>
      <c r="C69" s="3"/>
      <c r="D69" s="3"/>
      <c r="E69" s="4"/>
      <c r="F69" s="5" t="str">
        <f t="shared" si="1"/>
        <v/>
      </c>
      <c r="G69" s="4"/>
    </row>
    <row r="70" spans="1:7" x14ac:dyDescent="0.3">
      <c r="A70" s="15"/>
      <c r="B70" s="3"/>
      <c r="C70" s="3"/>
      <c r="D70" s="3"/>
      <c r="E70" s="4"/>
      <c r="F70" s="5" t="str">
        <f t="shared" si="1"/>
        <v/>
      </c>
      <c r="G70" s="4"/>
    </row>
    <row r="71" spans="1:7" x14ac:dyDescent="0.3">
      <c r="A71" s="15"/>
      <c r="B71" s="3"/>
      <c r="C71" s="3"/>
      <c r="D71" s="3"/>
      <c r="E71" s="4"/>
      <c r="F71" s="5" t="str">
        <f t="shared" si="1"/>
        <v/>
      </c>
      <c r="G71" s="4"/>
    </row>
    <row r="72" spans="1:7" x14ac:dyDescent="0.3">
      <c r="A72" s="15"/>
      <c r="B72" s="3"/>
      <c r="C72" s="3"/>
      <c r="D72" s="3"/>
      <c r="E72" s="4"/>
      <c r="F72" s="5" t="str">
        <f t="shared" si="1"/>
        <v/>
      </c>
      <c r="G72" s="4"/>
    </row>
    <row r="73" spans="1:7" x14ac:dyDescent="0.3">
      <c r="A73" s="15"/>
      <c r="B73" s="3"/>
      <c r="C73" s="3"/>
      <c r="D73" s="3"/>
      <c r="E73" s="4"/>
      <c r="F73" s="5" t="str">
        <f t="shared" si="1"/>
        <v/>
      </c>
      <c r="G73" s="4"/>
    </row>
    <row r="74" spans="1:7" x14ac:dyDescent="0.3">
      <c r="A74" s="15"/>
      <c r="B74" s="3"/>
      <c r="C74" s="3"/>
      <c r="D74" s="3"/>
      <c r="E74" s="4"/>
      <c r="F74" s="5" t="str">
        <f t="shared" si="1"/>
        <v/>
      </c>
      <c r="G74" s="4"/>
    </row>
    <row r="75" spans="1:7" x14ac:dyDescent="0.3">
      <c r="A75" s="15"/>
      <c r="B75" s="3"/>
      <c r="C75" s="3"/>
      <c r="D75" s="3"/>
      <c r="E75" s="4"/>
      <c r="F75" s="5" t="str">
        <f t="shared" si="1"/>
        <v/>
      </c>
      <c r="G75" s="4"/>
    </row>
    <row r="76" spans="1:7" x14ac:dyDescent="0.3">
      <c r="A76" s="15"/>
      <c r="B76" s="3"/>
      <c r="C76" s="3"/>
      <c r="D76" s="3"/>
      <c r="E76" s="4"/>
      <c r="F76" s="5" t="str">
        <f t="shared" si="1"/>
        <v/>
      </c>
      <c r="G76" s="4"/>
    </row>
    <row r="77" spans="1:7" x14ac:dyDescent="0.3">
      <c r="A77" s="15"/>
      <c r="B77" s="3"/>
      <c r="C77" s="3"/>
      <c r="D77" s="3"/>
      <c r="E77" s="4"/>
      <c r="F77" s="5" t="str">
        <f t="shared" si="1"/>
        <v/>
      </c>
      <c r="G77" s="4"/>
    </row>
    <row r="78" spans="1:7" x14ac:dyDescent="0.3">
      <c r="A78" s="15"/>
      <c r="B78" s="3"/>
      <c r="C78" s="3"/>
      <c r="D78" s="3"/>
      <c r="E78" s="4"/>
      <c r="F78" s="5" t="str">
        <f t="shared" si="1"/>
        <v/>
      </c>
      <c r="G78" s="4"/>
    </row>
    <row r="79" spans="1:7" x14ac:dyDescent="0.3">
      <c r="A79" s="15"/>
      <c r="B79" s="3"/>
      <c r="C79" s="3"/>
      <c r="D79" s="3"/>
      <c r="E79" s="4"/>
      <c r="F79" s="5" t="str">
        <f t="shared" si="1"/>
        <v/>
      </c>
      <c r="G79" s="4"/>
    </row>
    <row r="80" spans="1:7" x14ac:dyDescent="0.3">
      <c r="A80" s="15"/>
      <c r="B80" s="3"/>
      <c r="C80" s="3"/>
      <c r="D80" s="3"/>
      <c r="E80" s="4"/>
      <c r="F80" s="5" t="str">
        <f t="shared" si="1"/>
        <v/>
      </c>
      <c r="G80" s="4"/>
    </row>
    <row r="81" spans="1:7" x14ac:dyDescent="0.3">
      <c r="A81" s="15"/>
      <c r="B81" s="3"/>
      <c r="C81" s="3"/>
      <c r="D81" s="3"/>
      <c r="E81" s="4"/>
      <c r="F81" s="5" t="str">
        <f t="shared" si="1"/>
        <v/>
      </c>
      <c r="G81" s="4"/>
    </row>
    <row r="82" spans="1:7" x14ac:dyDescent="0.3">
      <c r="A82" s="15"/>
      <c r="B82" s="3"/>
      <c r="C82" s="3"/>
      <c r="D82" s="3"/>
      <c r="E82" s="4"/>
      <c r="F82" s="5" t="str">
        <f t="shared" si="1"/>
        <v/>
      </c>
      <c r="G82" s="4"/>
    </row>
    <row r="83" spans="1:7" x14ac:dyDescent="0.3">
      <c r="A83" s="15"/>
      <c r="B83" s="3"/>
      <c r="C83" s="3"/>
      <c r="D83" s="3"/>
      <c r="E83" s="4"/>
      <c r="F83" s="5" t="str">
        <f t="shared" si="1"/>
        <v/>
      </c>
      <c r="G83" s="4"/>
    </row>
    <row r="84" spans="1:7" x14ac:dyDescent="0.3">
      <c r="A84" s="15"/>
      <c r="B84" s="3"/>
      <c r="C84" s="3"/>
      <c r="D84" s="3"/>
      <c r="E84" s="4"/>
      <c r="F84" s="5" t="str">
        <f t="shared" si="1"/>
        <v/>
      </c>
      <c r="G84" s="4"/>
    </row>
    <row r="85" spans="1:7" x14ac:dyDescent="0.3">
      <c r="A85" s="15"/>
      <c r="B85" s="3"/>
      <c r="C85" s="3"/>
      <c r="D85" s="3"/>
      <c r="E85" s="4"/>
      <c r="F85" s="5" t="str">
        <f t="shared" si="1"/>
        <v/>
      </c>
      <c r="G85" s="4"/>
    </row>
    <row r="86" spans="1:7" x14ac:dyDescent="0.3">
      <c r="A86" s="15"/>
      <c r="B86" s="3"/>
      <c r="C86" s="3"/>
      <c r="D86" s="3"/>
      <c r="E86" s="4"/>
      <c r="F86" s="5" t="str">
        <f t="shared" si="1"/>
        <v/>
      </c>
      <c r="G86" s="4"/>
    </row>
    <row r="87" spans="1:7" x14ac:dyDescent="0.3">
      <c r="A87" s="15"/>
      <c r="B87" s="3"/>
      <c r="C87" s="3"/>
      <c r="D87" s="3"/>
      <c r="E87" s="4"/>
      <c r="F87" s="5" t="str">
        <f t="shared" si="1"/>
        <v/>
      </c>
      <c r="G87" s="4"/>
    </row>
    <row r="88" spans="1:7" x14ac:dyDescent="0.3">
      <c r="A88" s="15"/>
      <c r="B88" s="3"/>
      <c r="C88" s="3"/>
      <c r="D88" s="3"/>
      <c r="E88" s="4"/>
      <c r="F88" s="5" t="str">
        <f t="shared" si="1"/>
        <v/>
      </c>
      <c r="G88" s="4"/>
    </row>
    <row r="89" spans="1:7" x14ac:dyDescent="0.3">
      <c r="A89" s="15"/>
      <c r="B89" s="3"/>
      <c r="C89" s="3"/>
      <c r="D89" s="3"/>
      <c r="E89" s="4"/>
      <c r="F89" s="5" t="str">
        <f t="shared" si="1"/>
        <v/>
      </c>
      <c r="G89" s="4"/>
    </row>
    <row r="90" spans="1:7" x14ac:dyDescent="0.3">
      <c r="A90" s="15"/>
      <c r="B90" s="3"/>
      <c r="C90" s="3"/>
      <c r="D90" s="3"/>
      <c r="E90" s="4"/>
      <c r="F90" s="5" t="str">
        <f t="shared" si="1"/>
        <v/>
      </c>
      <c r="G90" s="4"/>
    </row>
    <row r="91" spans="1:7" x14ac:dyDescent="0.3">
      <c r="A91" s="15"/>
      <c r="B91" s="3"/>
      <c r="C91" s="3"/>
      <c r="D91" s="3"/>
      <c r="E91" s="4"/>
      <c r="F91" s="5" t="str">
        <f t="shared" si="1"/>
        <v/>
      </c>
      <c r="G91" s="4"/>
    </row>
    <row r="92" spans="1:7" x14ac:dyDescent="0.3">
      <c r="A92" s="15"/>
      <c r="B92" s="3"/>
      <c r="C92" s="3"/>
      <c r="D92" s="3"/>
      <c r="E92" s="4"/>
      <c r="F92" s="5" t="str">
        <f t="shared" si="1"/>
        <v/>
      </c>
      <c r="G92" s="4"/>
    </row>
    <row r="93" spans="1:7" x14ac:dyDescent="0.3">
      <c r="A93" s="15"/>
      <c r="B93" s="3"/>
      <c r="C93" s="3"/>
      <c r="D93" s="3"/>
      <c r="E93" s="4"/>
      <c r="F93" s="5" t="str">
        <f t="shared" si="1"/>
        <v/>
      </c>
      <c r="G93" s="4"/>
    </row>
    <row r="94" spans="1:7" x14ac:dyDescent="0.3">
      <c r="A94" s="15"/>
      <c r="B94" s="3"/>
      <c r="C94" s="3"/>
      <c r="D94" s="3"/>
      <c r="E94" s="4"/>
      <c r="F94" s="5" t="str">
        <f t="shared" si="1"/>
        <v/>
      </c>
      <c r="G94" s="4"/>
    </row>
    <row r="95" spans="1:7" x14ac:dyDescent="0.3">
      <c r="A95" s="15"/>
      <c r="B95" s="3"/>
      <c r="C95" s="3"/>
      <c r="D95" s="3"/>
      <c r="E95" s="4"/>
      <c r="F95" s="5" t="str">
        <f t="shared" si="1"/>
        <v/>
      </c>
      <c r="G95" s="4"/>
    </row>
    <row r="96" spans="1:7" x14ac:dyDescent="0.3">
      <c r="A96" s="15"/>
      <c r="B96" s="3"/>
      <c r="C96" s="3"/>
      <c r="D96" s="3"/>
      <c r="E96" s="4"/>
      <c r="F96" s="5" t="str">
        <f t="shared" si="1"/>
        <v/>
      </c>
      <c r="G96" s="4"/>
    </row>
    <row r="97" spans="1:7" x14ac:dyDescent="0.3">
      <c r="A97" s="15"/>
      <c r="B97" s="3"/>
      <c r="C97" s="3"/>
      <c r="D97" s="3"/>
      <c r="E97" s="4"/>
      <c r="F97" s="5" t="str">
        <f t="shared" si="1"/>
        <v/>
      </c>
      <c r="G97" s="4"/>
    </row>
    <row r="98" spans="1:7" x14ac:dyDescent="0.3">
      <c r="A98" s="15"/>
      <c r="B98" s="3"/>
      <c r="C98" s="3"/>
      <c r="D98" s="3"/>
      <c r="E98" s="4"/>
      <c r="F98" s="5" t="str">
        <f t="shared" si="1"/>
        <v/>
      </c>
      <c r="G98" s="4"/>
    </row>
    <row r="99" spans="1:7" x14ac:dyDescent="0.3">
      <c r="A99" s="15"/>
      <c r="B99" s="3"/>
      <c r="C99" s="3"/>
      <c r="D99" s="3"/>
      <c r="E99" s="4"/>
      <c r="F99" s="5" t="str">
        <f t="shared" si="1"/>
        <v/>
      </c>
      <c r="G99" s="4"/>
    </row>
    <row r="100" spans="1:7" x14ac:dyDescent="0.3">
      <c r="A100" s="15"/>
      <c r="B100" s="3"/>
      <c r="C100" s="3"/>
      <c r="D100" s="3"/>
      <c r="E100" s="4"/>
      <c r="F100" s="5" t="str">
        <f t="shared" si="1"/>
        <v/>
      </c>
      <c r="G100" s="4"/>
    </row>
    <row r="101" spans="1:7" x14ac:dyDescent="0.3">
      <c r="A101" s="15"/>
      <c r="B101" s="3"/>
      <c r="C101" s="3"/>
      <c r="D101" s="3"/>
      <c r="E101" s="4"/>
      <c r="F101" s="5" t="str">
        <f t="shared" si="1"/>
        <v/>
      </c>
      <c r="G101" s="4"/>
    </row>
    <row r="102" spans="1:7" x14ac:dyDescent="0.3">
      <c r="A102" s="15"/>
      <c r="B102" s="3"/>
      <c r="C102" s="3"/>
      <c r="D102" s="3"/>
      <c r="E102" s="4"/>
      <c r="F102" s="5" t="str">
        <f t="shared" si="1"/>
        <v/>
      </c>
      <c r="G102" s="4"/>
    </row>
    <row r="103" spans="1:7" x14ac:dyDescent="0.3">
      <c r="A103" s="15"/>
      <c r="B103" s="3"/>
      <c r="C103" s="3"/>
      <c r="D103" s="3"/>
      <c r="E103" s="4"/>
      <c r="F103" s="5" t="str">
        <f t="shared" si="1"/>
        <v/>
      </c>
      <c r="G103" s="4"/>
    </row>
    <row r="104" spans="1:7" x14ac:dyDescent="0.3">
      <c r="A104" s="15"/>
      <c r="B104" s="3"/>
      <c r="C104" s="3"/>
      <c r="D104" s="3"/>
      <c r="E104" s="4"/>
      <c r="F104" s="5" t="str">
        <f t="shared" si="1"/>
        <v/>
      </c>
      <c r="G104" s="4"/>
    </row>
    <row r="105" spans="1:7" x14ac:dyDescent="0.3">
      <c r="A105" s="15"/>
      <c r="B105" s="3"/>
      <c r="C105" s="3"/>
      <c r="D105" s="3"/>
      <c r="E105" s="4"/>
      <c r="F105" s="5" t="str">
        <f t="shared" si="1"/>
        <v/>
      </c>
      <c r="G105" s="4"/>
    </row>
    <row r="106" spans="1:7" x14ac:dyDescent="0.3">
      <c r="A106" s="15"/>
      <c r="B106" s="3"/>
      <c r="C106" s="3"/>
      <c r="D106" s="3"/>
      <c r="E106" s="4"/>
      <c r="F106" s="5" t="str">
        <f t="shared" si="1"/>
        <v/>
      </c>
      <c r="G106" s="4"/>
    </row>
    <row r="107" spans="1:7" x14ac:dyDescent="0.3">
      <c r="A107" s="15"/>
      <c r="B107" s="3"/>
      <c r="C107" s="3"/>
      <c r="D107" s="3"/>
      <c r="E107" s="4"/>
      <c r="F107" s="5" t="str">
        <f t="shared" si="1"/>
        <v/>
      </c>
      <c r="G107" s="4"/>
    </row>
    <row r="108" spans="1:7" x14ac:dyDescent="0.3">
      <c r="A108" s="15"/>
      <c r="B108" s="3"/>
      <c r="C108" s="3"/>
      <c r="D108" s="3"/>
      <c r="E108" s="4"/>
      <c r="F108" s="5" t="str">
        <f t="shared" si="1"/>
        <v/>
      </c>
      <c r="G108" s="4"/>
    </row>
    <row r="109" spans="1:7" x14ac:dyDescent="0.3">
      <c r="A109" s="15"/>
      <c r="B109" s="3"/>
      <c r="C109" s="3"/>
      <c r="D109" s="3"/>
      <c r="E109" s="4"/>
      <c r="F109" s="5" t="str">
        <f t="shared" si="1"/>
        <v/>
      </c>
      <c r="G109" s="4"/>
    </row>
    <row r="110" spans="1:7" x14ac:dyDescent="0.3">
      <c r="A110" s="15"/>
      <c r="B110" s="3"/>
      <c r="C110" s="3"/>
      <c r="D110" s="3"/>
      <c r="E110" s="4"/>
      <c r="F110" s="5" t="str">
        <f t="shared" si="1"/>
        <v/>
      </c>
      <c r="G110" s="4"/>
    </row>
    <row r="111" spans="1:7" x14ac:dyDescent="0.3">
      <c r="A111" s="15"/>
      <c r="B111" s="3"/>
      <c r="C111" s="3"/>
      <c r="D111" s="3"/>
      <c r="E111" s="4"/>
      <c r="F111" s="5" t="str">
        <f t="shared" si="1"/>
        <v/>
      </c>
      <c r="G111" s="4"/>
    </row>
    <row r="112" spans="1:7" x14ac:dyDescent="0.3">
      <c r="A112" s="15"/>
      <c r="B112" s="3"/>
      <c r="C112" s="3"/>
      <c r="D112" s="3"/>
      <c r="E112" s="4"/>
      <c r="F112" s="5" t="str">
        <f t="shared" si="1"/>
        <v/>
      </c>
      <c r="G112" s="4"/>
    </row>
    <row r="113" spans="1:7" x14ac:dyDescent="0.3">
      <c r="A113" s="15"/>
      <c r="B113" s="3"/>
      <c r="C113" s="3"/>
      <c r="D113" s="3"/>
      <c r="E113" s="4"/>
      <c r="F113" s="5" t="str">
        <f t="shared" si="1"/>
        <v/>
      </c>
      <c r="G113" s="4"/>
    </row>
    <row r="114" spans="1:7" x14ac:dyDescent="0.3">
      <c r="A114" s="15"/>
      <c r="B114" s="3"/>
      <c r="C114" s="3"/>
      <c r="D114" s="3"/>
      <c r="E114" s="4"/>
      <c r="F114" s="5" t="str">
        <f t="shared" si="1"/>
        <v/>
      </c>
      <c r="G114" s="4"/>
    </row>
    <row r="115" spans="1:7" x14ac:dyDescent="0.3">
      <c r="A115" s="15"/>
      <c r="B115" s="3"/>
      <c r="C115" s="3"/>
      <c r="D115" s="3"/>
      <c r="E115" s="4"/>
      <c r="F115" s="5" t="str">
        <f t="shared" si="1"/>
        <v/>
      </c>
      <c r="G115" s="4"/>
    </row>
    <row r="116" spans="1:7" x14ac:dyDescent="0.3">
      <c r="A116" s="15"/>
      <c r="B116" s="3"/>
      <c r="C116" s="3"/>
      <c r="D116" s="3"/>
      <c r="E116" s="4"/>
      <c r="F116" s="5" t="str">
        <f t="shared" si="1"/>
        <v/>
      </c>
      <c r="G116" s="4"/>
    </row>
    <row r="117" spans="1:7" x14ac:dyDescent="0.3">
      <c r="A117" s="15"/>
      <c r="B117" s="3"/>
      <c r="C117" s="3"/>
      <c r="D117" s="3"/>
      <c r="E117" s="4"/>
      <c r="F117" s="5" t="str">
        <f t="shared" si="1"/>
        <v/>
      </c>
      <c r="G117" s="4"/>
    </row>
    <row r="118" spans="1:7" x14ac:dyDescent="0.3">
      <c r="A118" s="15"/>
      <c r="B118" s="3"/>
      <c r="C118" s="3"/>
      <c r="D118" s="3"/>
      <c r="E118" s="4"/>
      <c r="F118" s="5" t="str">
        <f t="shared" si="1"/>
        <v/>
      </c>
      <c r="G118" s="4"/>
    </row>
    <row r="119" spans="1:7" x14ac:dyDescent="0.3">
      <c r="A119" s="15"/>
      <c r="B119" s="3"/>
      <c r="C119" s="3"/>
      <c r="D119" s="3"/>
      <c r="E119" s="4"/>
      <c r="F119" s="5" t="str">
        <f t="shared" si="1"/>
        <v/>
      </c>
      <c r="G119" s="4"/>
    </row>
    <row r="120" spans="1:7" x14ac:dyDescent="0.3">
      <c r="A120" s="15"/>
      <c r="B120" s="3"/>
      <c r="C120" s="3"/>
      <c r="D120" s="3"/>
      <c r="E120" s="4"/>
      <c r="F120" s="5" t="str">
        <f t="shared" si="1"/>
        <v/>
      </c>
      <c r="G120" s="4"/>
    </row>
    <row r="121" spans="1:7" x14ac:dyDescent="0.3">
      <c r="A121" s="15"/>
      <c r="B121" s="3"/>
      <c r="C121" s="3"/>
      <c r="D121" s="3"/>
      <c r="E121" s="4"/>
      <c r="F121" s="5" t="str">
        <f t="shared" si="1"/>
        <v/>
      </c>
      <c r="G121" s="4"/>
    </row>
    <row r="122" spans="1:7" x14ac:dyDescent="0.3">
      <c r="A122" s="15"/>
      <c r="B122" s="3"/>
      <c r="C122" s="3"/>
      <c r="D122" s="3"/>
      <c r="E122" s="4"/>
      <c r="F122" s="5" t="str">
        <f t="shared" si="1"/>
        <v/>
      </c>
      <c r="G122" s="4"/>
    </row>
    <row r="123" spans="1:7" x14ac:dyDescent="0.3">
      <c r="A123" s="15"/>
      <c r="B123" s="3"/>
      <c r="C123" s="3"/>
      <c r="D123" s="3"/>
      <c r="E123" s="4"/>
      <c r="F123" s="5" t="str">
        <f t="shared" si="1"/>
        <v/>
      </c>
      <c r="G123" s="4"/>
    </row>
    <row r="124" spans="1:7" x14ac:dyDescent="0.3">
      <c r="A124" s="15"/>
      <c r="B124" s="3"/>
      <c r="C124" s="3"/>
      <c r="D124" s="3"/>
      <c r="E124" s="4"/>
      <c r="F124" s="5" t="str">
        <f t="shared" si="1"/>
        <v/>
      </c>
      <c r="G124" s="4"/>
    </row>
    <row r="125" spans="1:7" x14ac:dyDescent="0.3">
      <c r="A125" s="15"/>
      <c r="B125" s="3"/>
      <c r="C125" s="3"/>
      <c r="D125" s="3"/>
      <c r="E125" s="4"/>
      <c r="F125" s="5" t="str">
        <f t="shared" si="1"/>
        <v/>
      </c>
      <c r="G125" s="4"/>
    </row>
    <row r="126" spans="1:7" x14ac:dyDescent="0.3">
      <c r="A126" s="15"/>
      <c r="B126" s="3"/>
      <c r="C126" s="3"/>
      <c r="D126" s="3"/>
      <c r="E126" s="4"/>
      <c r="F126" s="5" t="str">
        <f t="shared" si="1"/>
        <v/>
      </c>
      <c r="G126" s="4"/>
    </row>
    <row r="127" spans="1:7" x14ac:dyDescent="0.3">
      <c r="A127" s="15"/>
      <c r="B127" s="3"/>
      <c r="C127" s="3"/>
      <c r="D127" s="3"/>
      <c r="E127" s="4"/>
      <c r="F127" s="5" t="str">
        <f t="shared" si="1"/>
        <v/>
      </c>
      <c r="G127" s="4"/>
    </row>
    <row r="128" spans="1:7" x14ac:dyDescent="0.3">
      <c r="A128" s="15"/>
      <c r="B128" s="3"/>
      <c r="C128" s="3"/>
      <c r="D128" s="3"/>
      <c r="E128" s="4"/>
      <c r="F128" s="5" t="str">
        <f t="shared" si="1"/>
        <v/>
      </c>
      <c r="G128" s="4"/>
    </row>
    <row r="129" spans="1:7" x14ac:dyDescent="0.3">
      <c r="A129" s="15"/>
      <c r="B129" s="3"/>
      <c r="C129" s="3"/>
      <c r="D129" s="3"/>
      <c r="E129" s="4"/>
      <c r="F129" s="5" t="str">
        <f t="shared" si="1"/>
        <v/>
      </c>
      <c r="G129" s="4"/>
    </row>
    <row r="130" spans="1:7" x14ac:dyDescent="0.3">
      <c r="A130" s="15"/>
      <c r="B130" s="3"/>
      <c r="C130" s="3"/>
      <c r="D130" s="3"/>
      <c r="E130" s="4"/>
      <c r="F130" s="5" t="str">
        <f t="shared" si="1"/>
        <v/>
      </c>
      <c r="G130" s="4"/>
    </row>
    <row r="131" spans="1:7" x14ac:dyDescent="0.3">
      <c r="A131" s="15"/>
      <c r="B131" s="3"/>
      <c r="C131" s="3"/>
      <c r="D131" s="3"/>
      <c r="E131" s="4"/>
      <c r="F131" s="5" t="str">
        <f t="shared" si="1"/>
        <v/>
      </c>
      <c r="G131" s="4"/>
    </row>
    <row r="132" spans="1:7" x14ac:dyDescent="0.3">
      <c r="A132" s="15"/>
      <c r="B132" s="3"/>
      <c r="C132" s="3"/>
      <c r="D132" s="3"/>
      <c r="E132" s="4"/>
      <c r="F132" s="5" t="str">
        <f t="shared" ref="F132:F195" si="2">IF(OR(D132="", E132=""), "", D132*E132)</f>
        <v/>
      </c>
      <c r="G132" s="4"/>
    </row>
    <row r="133" spans="1:7" x14ac:dyDescent="0.3">
      <c r="A133" s="15"/>
      <c r="B133" s="3"/>
      <c r="C133" s="3"/>
      <c r="D133" s="3"/>
      <c r="E133" s="4"/>
      <c r="F133" s="5" t="str">
        <f t="shared" si="2"/>
        <v/>
      </c>
      <c r="G133" s="4"/>
    </row>
    <row r="134" spans="1:7" x14ac:dyDescent="0.3">
      <c r="A134" s="15"/>
      <c r="B134" s="3"/>
      <c r="C134" s="3"/>
      <c r="D134" s="3"/>
      <c r="E134" s="4"/>
      <c r="F134" s="5" t="str">
        <f t="shared" si="2"/>
        <v/>
      </c>
      <c r="G134" s="4"/>
    </row>
    <row r="135" spans="1:7" x14ac:dyDescent="0.3">
      <c r="A135" s="15"/>
      <c r="B135" s="3"/>
      <c r="C135" s="3"/>
      <c r="D135" s="3"/>
      <c r="E135" s="4"/>
      <c r="F135" s="5" t="str">
        <f t="shared" si="2"/>
        <v/>
      </c>
      <c r="G135" s="4"/>
    </row>
    <row r="136" spans="1:7" x14ac:dyDescent="0.3">
      <c r="A136" s="15"/>
      <c r="B136" s="3"/>
      <c r="C136" s="3"/>
      <c r="D136" s="3"/>
      <c r="E136" s="4"/>
      <c r="F136" s="5" t="str">
        <f t="shared" si="2"/>
        <v/>
      </c>
      <c r="G136" s="4"/>
    </row>
    <row r="137" spans="1:7" x14ac:dyDescent="0.3">
      <c r="A137" s="15"/>
      <c r="B137" s="3"/>
      <c r="C137" s="3"/>
      <c r="D137" s="3"/>
      <c r="E137" s="4"/>
      <c r="F137" s="5" t="str">
        <f t="shared" si="2"/>
        <v/>
      </c>
      <c r="G137" s="4"/>
    </row>
    <row r="138" spans="1:7" x14ac:dyDescent="0.3">
      <c r="A138" s="15"/>
      <c r="B138" s="3"/>
      <c r="C138" s="3"/>
      <c r="D138" s="3"/>
      <c r="E138" s="4"/>
      <c r="F138" s="5" t="str">
        <f t="shared" si="2"/>
        <v/>
      </c>
      <c r="G138" s="4"/>
    </row>
    <row r="139" spans="1:7" x14ac:dyDescent="0.3">
      <c r="A139" s="15"/>
      <c r="B139" s="3"/>
      <c r="C139" s="3"/>
      <c r="D139" s="3"/>
      <c r="E139" s="4"/>
      <c r="F139" s="5" t="str">
        <f t="shared" si="2"/>
        <v/>
      </c>
      <c r="G139" s="4"/>
    </row>
    <row r="140" spans="1:7" x14ac:dyDescent="0.3">
      <c r="A140" s="15"/>
      <c r="B140" s="3"/>
      <c r="C140" s="3"/>
      <c r="D140" s="3"/>
      <c r="E140" s="4"/>
      <c r="F140" s="5" t="str">
        <f t="shared" si="2"/>
        <v/>
      </c>
      <c r="G140" s="4"/>
    </row>
    <row r="141" spans="1:7" x14ac:dyDescent="0.3">
      <c r="A141" s="15"/>
      <c r="B141" s="3"/>
      <c r="C141" s="3"/>
      <c r="D141" s="3"/>
      <c r="E141" s="4"/>
      <c r="F141" s="5" t="str">
        <f t="shared" si="2"/>
        <v/>
      </c>
      <c r="G141" s="4"/>
    </row>
    <row r="142" spans="1:7" x14ac:dyDescent="0.3">
      <c r="A142" s="15"/>
      <c r="B142" s="3"/>
      <c r="C142" s="3"/>
      <c r="D142" s="3"/>
      <c r="E142" s="4"/>
      <c r="F142" s="5" t="str">
        <f t="shared" si="2"/>
        <v/>
      </c>
      <c r="G142" s="4"/>
    </row>
    <row r="143" spans="1:7" x14ac:dyDescent="0.3">
      <c r="A143" s="15"/>
      <c r="B143" s="3"/>
      <c r="C143" s="3"/>
      <c r="D143" s="3"/>
      <c r="E143" s="4"/>
      <c r="F143" s="5" t="str">
        <f t="shared" si="2"/>
        <v/>
      </c>
      <c r="G143" s="4"/>
    </row>
    <row r="144" spans="1:7" x14ac:dyDescent="0.3">
      <c r="A144" s="15"/>
      <c r="B144" s="3"/>
      <c r="C144" s="3"/>
      <c r="D144" s="3"/>
      <c r="E144" s="4"/>
      <c r="F144" s="5" t="str">
        <f t="shared" si="2"/>
        <v/>
      </c>
      <c r="G144" s="4"/>
    </row>
    <row r="145" spans="1:7" x14ac:dyDescent="0.3">
      <c r="A145" s="15"/>
      <c r="B145" s="3"/>
      <c r="C145" s="3"/>
      <c r="D145" s="3"/>
      <c r="E145" s="4"/>
      <c r="F145" s="5" t="str">
        <f t="shared" si="2"/>
        <v/>
      </c>
      <c r="G145" s="4"/>
    </row>
    <row r="146" spans="1:7" x14ac:dyDescent="0.3">
      <c r="A146" s="15"/>
      <c r="B146" s="3"/>
      <c r="C146" s="3"/>
      <c r="D146" s="3"/>
      <c r="E146" s="4"/>
      <c r="F146" s="5" t="str">
        <f t="shared" si="2"/>
        <v/>
      </c>
      <c r="G146" s="4"/>
    </row>
    <row r="147" spans="1:7" x14ac:dyDescent="0.3">
      <c r="A147" s="15"/>
      <c r="B147" s="3"/>
      <c r="C147" s="3"/>
      <c r="D147" s="3"/>
      <c r="E147" s="4"/>
      <c r="F147" s="5" t="str">
        <f t="shared" si="2"/>
        <v/>
      </c>
      <c r="G147" s="4"/>
    </row>
    <row r="148" spans="1:7" x14ac:dyDescent="0.3">
      <c r="A148" s="15"/>
      <c r="B148" s="3"/>
      <c r="C148" s="3"/>
      <c r="D148" s="3"/>
      <c r="E148" s="4"/>
      <c r="F148" s="5" t="str">
        <f t="shared" si="2"/>
        <v/>
      </c>
      <c r="G148" s="4"/>
    </row>
    <row r="149" spans="1:7" x14ac:dyDescent="0.3">
      <c r="A149" s="15"/>
      <c r="B149" s="3"/>
      <c r="C149" s="3"/>
      <c r="D149" s="3"/>
      <c r="E149" s="4"/>
      <c r="F149" s="5" t="str">
        <f t="shared" si="2"/>
        <v/>
      </c>
      <c r="G149" s="4"/>
    </row>
    <row r="150" spans="1:7" x14ac:dyDescent="0.3">
      <c r="A150" s="15"/>
      <c r="B150" s="3"/>
      <c r="C150" s="3"/>
      <c r="D150" s="3"/>
      <c r="E150" s="4"/>
      <c r="F150" s="5" t="str">
        <f t="shared" si="2"/>
        <v/>
      </c>
      <c r="G150" s="4"/>
    </row>
    <row r="151" spans="1:7" x14ac:dyDescent="0.3">
      <c r="A151" s="15"/>
      <c r="B151" s="3"/>
      <c r="C151" s="3"/>
      <c r="D151" s="3"/>
      <c r="E151" s="4"/>
      <c r="F151" s="5" t="str">
        <f t="shared" si="2"/>
        <v/>
      </c>
      <c r="G151" s="4"/>
    </row>
    <row r="152" spans="1:7" x14ac:dyDescent="0.3">
      <c r="A152" s="15"/>
      <c r="B152" s="3"/>
      <c r="C152" s="3"/>
      <c r="D152" s="3"/>
      <c r="E152" s="4"/>
      <c r="F152" s="5" t="str">
        <f t="shared" si="2"/>
        <v/>
      </c>
      <c r="G152" s="4"/>
    </row>
    <row r="153" spans="1:7" x14ac:dyDescent="0.3">
      <c r="A153" s="15"/>
      <c r="B153" s="3"/>
      <c r="C153" s="3"/>
      <c r="D153" s="3"/>
      <c r="E153" s="4"/>
      <c r="F153" s="5" t="str">
        <f t="shared" si="2"/>
        <v/>
      </c>
      <c r="G153" s="4"/>
    </row>
    <row r="154" spans="1:7" x14ac:dyDescent="0.3">
      <c r="A154" s="15"/>
      <c r="B154" s="3"/>
      <c r="C154" s="3"/>
      <c r="D154" s="3"/>
      <c r="E154" s="4"/>
      <c r="F154" s="5" t="str">
        <f t="shared" si="2"/>
        <v/>
      </c>
      <c r="G154" s="4"/>
    </row>
    <row r="155" spans="1:7" x14ac:dyDescent="0.3">
      <c r="A155" s="15"/>
      <c r="B155" s="3"/>
      <c r="C155" s="3"/>
      <c r="D155" s="3"/>
      <c r="E155" s="4"/>
      <c r="F155" s="5" t="str">
        <f t="shared" si="2"/>
        <v/>
      </c>
      <c r="G155" s="4"/>
    </row>
    <row r="156" spans="1:7" x14ac:dyDescent="0.3">
      <c r="A156" s="15"/>
      <c r="B156" s="3"/>
      <c r="C156" s="3"/>
      <c r="D156" s="3"/>
      <c r="E156" s="4"/>
      <c r="F156" s="5" t="str">
        <f t="shared" si="2"/>
        <v/>
      </c>
      <c r="G156" s="4"/>
    </row>
    <row r="157" spans="1:7" x14ac:dyDescent="0.3">
      <c r="A157" s="15"/>
      <c r="B157" s="3"/>
      <c r="C157" s="3"/>
      <c r="D157" s="3"/>
      <c r="E157" s="4"/>
      <c r="F157" s="5" t="str">
        <f t="shared" si="2"/>
        <v/>
      </c>
      <c r="G157" s="4"/>
    </row>
    <row r="158" spans="1:7" x14ac:dyDescent="0.3">
      <c r="A158" s="15"/>
      <c r="B158" s="3"/>
      <c r="C158" s="3"/>
      <c r="D158" s="3"/>
      <c r="E158" s="4"/>
      <c r="F158" s="5" t="str">
        <f t="shared" si="2"/>
        <v/>
      </c>
      <c r="G158" s="4"/>
    </row>
    <row r="159" spans="1:7" x14ac:dyDescent="0.3">
      <c r="A159" s="15"/>
      <c r="B159" s="3"/>
      <c r="C159" s="3"/>
      <c r="D159" s="3"/>
      <c r="E159" s="4"/>
      <c r="F159" s="5" t="str">
        <f t="shared" si="2"/>
        <v/>
      </c>
      <c r="G159" s="4"/>
    </row>
    <row r="160" spans="1:7" x14ac:dyDescent="0.3">
      <c r="A160" s="15"/>
      <c r="B160" s="3"/>
      <c r="C160" s="3"/>
      <c r="D160" s="3"/>
      <c r="E160" s="4"/>
      <c r="F160" s="5" t="str">
        <f t="shared" si="2"/>
        <v/>
      </c>
      <c r="G160" s="4"/>
    </row>
    <row r="161" spans="1:7" x14ac:dyDescent="0.3">
      <c r="A161" s="15"/>
      <c r="B161" s="3"/>
      <c r="C161" s="3"/>
      <c r="D161" s="3"/>
      <c r="E161" s="4"/>
      <c r="F161" s="5" t="str">
        <f t="shared" si="2"/>
        <v/>
      </c>
      <c r="G161" s="4"/>
    </row>
    <row r="162" spans="1:7" x14ac:dyDescent="0.3">
      <c r="A162" s="15"/>
      <c r="B162" s="3"/>
      <c r="C162" s="3"/>
      <c r="D162" s="3"/>
      <c r="E162" s="4"/>
      <c r="F162" s="5" t="str">
        <f t="shared" si="2"/>
        <v/>
      </c>
      <c r="G162" s="4"/>
    </row>
    <row r="163" spans="1:7" x14ac:dyDescent="0.3">
      <c r="A163" s="15"/>
      <c r="B163" s="3"/>
      <c r="C163" s="3"/>
      <c r="D163" s="3"/>
      <c r="E163" s="4"/>
      <c r="F163" s="5" t="str">
        <f t="shared" si="2"/>
        <v/>
      </c>
      <c r="G163" s="4"/>
    </row>
    <row r="164" spans="1:7" x14ac:dyDescent="0.3">
      <c r="A164" s="15"/>
      <c r="B164" s="3"/>
      <c r="C164" s="3"/>
      <c r="D164" s="3"/>
      <c r="E164" s="4"/>
      <c r="F164" s="5" t="str">
        <f t="shared" si="2"/>
        <v/>
      </c>
      <c r="G164" s="4"/>
    </row>
    <row r="165" spans="1:7" x14ac:dyDescent="0.3">
      <c r="A165" s="15"/>
      <c r="B165" s="3"/>
      <c r="C165" s="3"/>
      <c r="D165" s="3"/>
      <c r="E165" s="4"/>
      <c r="F165" s="5" t="str">
        <f t="shared" si="2"/>
        <v/>
      </c>
      <c r="G165" s="4"/>
    </row>
    <row r="166" spans="1:7" x14ac:dyDescent="0.3">
      <c r="A166" s="15"/>
      <c r="B166" s="3"/>
      <c r="C166" s="3"/>
      <c r="D166" s="3"/>
      <c r="E166" s="4"/>
      <c r="F166" s="5" t="str">
        <f t="shared" si="2"/>
        <v/>
      </c>
      <c r="G166" s="4"/>
    </row>
    <row r="167" spans="1:7" x14ac:dyDescent="0.3">
      <c r="A167" s="15"/>
      <c r="B167" s="3"/>
      <c r="C167" s="3"/>
      <c r="D167" s="3"/>
      <c r="E167" s="4"/>
      <c r="F167" s="5" t="str">
        <f t="shared" si="2"/>
        <v/>
      </c>
      <c r="G167" s="4"/>
    </row>
    <row r="168" spans="1:7" x14ac:dyDescent="0.3">
      <c r="A168" s="15"/>
      <c r="B168" s="3"/>
      <c r="C168" s="3"/>
      <c r="D168" s="3"/>
      <c r="E168" s="4"/>
      <c r="F168" s="5" t="str">
        <f t="shared" si="2"/>
        <v/>
      </c>
      <c r="G168" s="4"/>
    </row>
    <row r="169" spans="1:7" x14ac:dyDescent="0.3">
      <c r="A169" s="15"/>
      <c r="B169" s="3"/>
      <c r="C169" s="3"/>
      <c r="D169" s="3"/>
      <c r="E169" s="4"/>
      <c r="F169" s="5" t="str">
        <f t="shared" si="2"/>
        <v/>
      </c>
      <c r="G169" s="4"/>
    </row>
    <row r="170" spans="1:7" x14ac:dyDescent="0.3">
      <c r="A170" s="15"/>
      <c r="B170" s="3"/>
      <c r="C170" s="3"/>
      <c r="D170" s="3"/>
      <c r="E170" s="4"/>
      <c r="F170" s="5" t="str">
        <f t="shared" si="2"/>
        <v/>
      </c>
      <c r="G170" s="4"/>
    </row>
    <row r="171" spans="1:7" x14ac:dyDescent="0.3">
      <c r="A171" s="15"/>
      <c r="B171" s="3"/>
      <c r="C171" s="3"/>
      <c r="D171" s="3"/>
      <c r="E171" s="4"/>
      <c r="F171" s="5" t="str">
        <f t="shared" si="2"/>
        <v/>
      </c>
      <c r="G171" s="4"/>
    </row>
    <row r="172" spans="1:7" x14ac:dyDescent="0.3">
      <c r="A172" s="15"/>
      <c r="B172" s="3"/>
      <c r="C172" s="3"/>
      <c r="D172" s="3"/>
      <c r="E172" s="4"/>
      <c r="F172" s="5" t="str">
        <f t="shared" si="2"/>
        <v/>
      </c>
      <c r="G172" s="4"/>
    </row>
    <row r="173" spans="1:7" x14ac:dyDescent="0.3">
      <c r="A173" s="15"/>
      <c r="B173" s="3"/>
      <c r="C173" s="3"/>
      <c r="D173" s="3"/>
      <c r="E173" s="4"/>
      <c r="F173" s="5" t="str">
        <f t="shared" si="2"/>
        <v/>
      </c>
      <c r="G173" s="4"/>
    </row>
    <row r="174" spans="1:7" x14ac:dyDescent="0.3">
      <c r="A174" s="15"/>
      <c r="B174" s="3"/>
      <c r="C174" s="3"/>
      <c r="D174" s="3"/>
      <c r="E174" s="4"/>
      <c r="F174" s="5" t="str">
        <f t="shared" si="2"/>
        <v/>
      </c>
      <c r="G174" s="4"/>
    </row>
    <row r="175" spans="1:7" x14ac:dyDescent="0.3">
      <c r="A175" s="15"/>
      <c r="B175" s="3"/>
      <c r="C175" s="3"/>
      <c r="D175" s="3"/>
      <c r="E175" s="4"/>
      <c r="F175" s="5" t="str">
        <f t="shared" si="2"/>
        <v/>
      </c>
      <c r="G175" s="4"/>
    </row>
    <row r="176" spans="1:7" x14ac:dyDescent="0.3">
      <c r="A176" s="15"/>
      <c r="B176" s="3"/>
      <c r="C176" s="3"/>
      <c r="D176" s="3"/>
      <c r="E176" s="4"/>
      <c r="F176" s="5" t="str">
        <f t="shared" si="2"/>
        <v/>
      </c>
      <c r="G176" s="4"/>
    </row>
    <row r="177" spans="1:7" x14ac:dyDescent="0.3">
      <c r="A177" s="15"/>
      <c r="B177" s="3"/>
      <c r="C177" s="3"/>
      <c r="D177" s="3"/>
      <c r="E177" s="4"/>
      <c r="F177" s="5" t="str">
        <f t="shared" si="2"/>
        <v/>
      </c>
      <c r="G177" s="4"/>
    </row>
    <row r="178" spans="1:7" x14ac:dyDescent="0.3">
      <c r="A178" s="15"/>
      <c r="B178" s="3"/>
      <c r="C178" s="3"/>
      <c r="D178" s="3"/>
      <c r="E178" s="4"/>
      <c r="F178" s="5" t="str">
        <f t="shared" si="2"/>
        <v/>
      </c>
      <c r="G178" s="4"/>
    </row>
    <row r="179" spans="1:7" x14ac:dyDescent="0.3">
      <c r="A179" s="15"/>
      <c r="B179" s="3"/>
      <c r="C179" s="3"/>
      <c r="D179" s="3"/>
      <c r="E179" s="4"/>
      <c r="F179" s="5" t="str">
        <f t="shared" si="2"/>
        <v/>
      </c>
      <c r="G179" s="4"/>
    </row>
    <row r="180" spans="1:7" x14ac:dyDescent="0.3">
      <c r="A180" s="15"/>
      <c r="B180" s="3"/>
      <c r="C180" s="3"/>
      <c r="D180" s="3"/>
      <c r="E180" s="4"/>
      <c r="F180" s="5" t="str">
        <f t="shared" si="2"/>
        <v/>
      </c>
      <c r="G180" s="4"/>
    </row>
    <row r="181" spans="1:7" x14ac:dyDescent="0.3">
      <c r="A181" s="15"/>
      <c r="B181" s="3"/>
      <c r="C181" s="3"/>
      <c r="D181" s="3"/>
      <c r="E181" s="4"/>
      <c r="F181" s="5" t="str">
        <f t="shared" si="2"/>
        <v/>
      </c>
      <c r="G181" s="4"/>
    </row>
    <row r="182" spans="1:7" x14ac:dyDescent="0.3">
      <c r="A182" s="15"/>
      <c r="B182" s="3"/>
      <c r="C182" s="3"/>
      <c r="D182" s="3"/>
      <c r="E182" s="4"/>
      <c r="F182" s="5" t="str">
        <f t="shared" si="2"/>
        <v/>
      </c>
      <c r="G182" s="4"/>
    </row>
    <row r="183" spans="1:7" x14ac:dyDescent="0.3">
      <c r="A183" s="15"/>
      <c r="B183" s="3"/>
      <c r="C183" s="3"/>
      <c r="D183" s="3"/>
      <c r="E183" s="4"/>
      <c r="F183" s="5" t="str">
        <f t="shared" si="2"/>
        <v/>
      </c>
      <c r="G183" s="4"/>
    </row>
    <row r="184" spans="1:7" x14ac:dyDescent="0.3">
      <c r="A184" s="15"/>
      <c r="B184" s="3"/>
      <c r="C184" s="3"/>
      <c r="D184" s="3"/>
      <c r="E184" s="4"/>
      <c r="F184" s="5" t="str">
        <f t="shared" si="2"/>
        <v/>
      </c>
      <c r="G184" s="4"/>
    </row>
    <row r="185" spans="1:7" x14ac:dyDescent="0.3">
      <c r="A185" s="15"/>
      <c r="B185" s="3"/>
      <c r="C185" s="3"/>
      <c r="D185" s="3"/>
      <c r="E185" s="4"/>
      <c r="F185" s="5" t="str">
        <f t="shared" si="2"/>
        <v/>
      </c>
      <c r="G185" s="4"/>
    </row>
    <row r="186" spans="1:7" x14ac:dyDescent="0.3">
      <c r="A186" s="15"/>
      <c r="B186" s="3"/>
      <c r="C186" s="3"/>
      <c r="D186" s="3"/>
      <c r="E186" s="4"/>
      <c r="F186" s="5" t="str">
        <f t="shared" si="2"/>
        <v/>
      </c>
      <c r="G186" s="4"/>
    </row>
    <row r="187" spans="1:7" x14ac:dyDescent="0.3">
      <c r="A187" s="15"/>
      <c r="B187" s="3"/>
      <c r="C187" s="3"/>
      <c r="D187" s="3"/>
      <c r="E187" s="4"/>
      <c r="F187" s="5" t="str">
        <f t="shared" si="2"/>
        <v/>
      </c>
      <c r="G187" s="4"/>
    </row>
    <row r="188" spans="1:7" x14ac:dyDescent="0.3">
      <c r="A188" s="15"/>
      <c r="B188" s="3"/>
      <c r="C188" s="3"/>
      <c r="D188" s="3"/>
      <c r="E188" s="4"/>
      <c r="F188" s="5" t="str">
        <f t="shared" si="2"/>
        <v/>
      </c>
      <c r="G188" s="4"/>
    </row>
    <row r="189" spans="1:7" x14ac:dyDescent="0.3">
      <c r="A189" s="15"/>
      <c r="B189" s="3"/>
      <c r="C189" s="3"/>
      <c r="D189" s="3"/>
      <c r="E189" s="4"/>
      <c r="F189" s="5" t="str">
        <f t="shared" si="2"/>
        <v/>
      </c>
      <c r="G189" s="4"/>
    </row>
    <row r="190" spans="1:7" x14ac:dyDescent="0.3">
      <c r="A190" s="15"/>
      <c r="B190" s="3"/>
      <c r="C190" s="3"/>
      <c r="D190" s="3"/>
      <c r="E190" s="4"/>
      <c r="F190" s="5" t="str">
        <f t="shared" si="2"/>
        <v/>
      </c>
      <c r="G190" s="4"/>
    </row>
    <row r="191" spans="1:7" x14ac:dyDescent="0.3">
      <c r="A191" s="15"/>
      <c r="B191" s="3"/>
      <c r="C191" s="3"/>
      <c r="D191" s="3"/>
      <c r="E191" s="4"/>
      <c r="F191" s="5" t="str">
        <f t="shared" si="2"/>
        <v/>
      </c>
      <c r="G191" s="4"/>
    </row>
    <row r="192" spans="1:7" x14ac:dyDescent="0.3">
      <c r="A192" s="15"/>
      <c r="B192" s="3"/>
      <c r="C192" s="3"/>
      <c r="D192" s="3"/>
      <c r="E192" s="4"/>
      <c r="F192" s="5" t="str">
        <f t="shared" si="2"/>
        <v/>
      </c>
      <c r="G192" s="4"/>
    </row>
    <row r="193" spans="1:7" x14ac:dyDescent="0.3">
      <c r="A193" s="15"/>
      <c r="B193" s="3"/>
      <c r="C193" s="3"/>
      <c r="D193" s="3"/>
      <c r="E193" s="4"/>
      <c r="F193" s="5" t="str">
        <f t="shared" si="2"/>
        <v/>
      </c>
      <c r="G193" s="4"/>
    </row>
    <row r="194" spans="1:7" x14ac:dyDescent="0.3">
      <c r="A194" s="15"/>
      <c r="B194" s="3"/>
      <c r="C194" s="3"/>
      <c r="D194" s="3"/>
      <c r="E194" s="4"/>
      <c r="F194" s="5" t="str">
        <f t="shared" si="2"/>
        <v/>
      </c>
      <c r="G194" s="4"/>
    </row>
    <row r="195" spans="1:7" x14ac:dyDescent="0.3">
      <c r="A195" s="15"/>
      <c r="B195" s="3"/>
      <c r="C195" s="3"/>
      <c r="D195" s="3"/>
      <c r="E195" s="4"/>
      <c r="F195" s="5" t="str">
        <f t="shared" si="2"/>
        <v/>
      </c>
      <c r="G195" s="4"/>
    </row>
    <row r="196" spans="1:7" x14ac:dyDescent="0.3">
      <c r="A196" s="15"/>
      <c r="B196" s="3"/>
      <c r="C196" s="3"/>
      <c r="D196" s="3"/>
      <c r="E196" s="4"/>
      <c r="F196" s="5" t="str">
        <f t="shared" ref="F196:F259" si="3">IF(OR(D196="", E196=""), "", D196*E196)</f>
        <v/>
      </c>
      <c r="G196" s="4"/>
    </row>
    <row r="197" spans="1:7" x14ac:dyDescent="0.3">
      <c r="A197" s="15"/>
      <c r="B197" s="3"/>
      <c r="C197" s="3"/>
      <c r="D197" s="3"/>
      <c r="E197" s="4"/>
      <c r="F197" s="5" t="str">
        <f t="shared" si="3"/>
        <v/>
      </c>
      <c r="G197" s="4"/>
    </row>
    <row r="198" spans="1:7" x14ac:dyDescent="0.3">
      <c r="A198" s="15"/>
      <c r="B198" s="3"/>
      <c r="C198" s="3"/>
      <c r="D198" s="3"/>
      <c r="E198" s="4"/>
      <c r="F198" s="5" t="str">
        <f t="shared" si="3"/>
        <v/>
      </c>
      <c r="G198" s="4"/>
    </row>
    <row r="199" spans="1:7" x14ac:dyDescent="0.3">
      <c r="A199" s="15"/>
      <c r="B199" s="3"/>
      <c r="C199" s="3"/>
      <c r="D199" s="3"/>
      <c r="E199" s="4"/>
      <c r="F199" s="5" t="str">
        <f t="shared" si="3"/>
        <v/>
      </c>
      <c r="G199" s="4"/>
    </row>
    <row r="200" spans="1:7" x14ac:dyDescent="0.3">
      <c r="A200" s="15"/>
      <c r="B200" s="3"/>
      <c r="C200" s="3"/>
      <c r="D200" s="3"/>
      <c r="E200" s="4"/>
      <c r="F200" s="5" t="str">
        <f t="shared" si="3"/>
        <v/>
      </c>
      <c r="G200" s="4"/>
    </row>
    <row r="201" spans="1:7" x14ac:dyDescent="0.3">
      <c r="A201" s="15"/>
      <c r="B201" s="3"/>
      <c r="C201" s="3"/>
      <c r="D201" s="3"/>
      <c r="E201" s="4"/>
      <c r="F201" s="5" t="str">
        <f t="shared" si="3"/>
        <v/>
      </c>
      <c r="G201" s="4"/>
    </row>
    <row r="202" spans="1:7" x14ac:dyDescent="0.3">
      <c r="A202" s="15"/>
      <c r="B202" s="3"/>
      <c r="C202" s="3"/>
      <c r="D202" s="3"/>
      <c r="E202" s="4"/>
      <c r="F202" s="5" t="str">
        <f t="shared" si="3"/>
        <v/>
      </c>
      <c r="G202" s="4"/>
    </row>
    <row r="203" spans="1:7" x14ac:dyDescent="0.3">
      <c r="A203" s="15"/>
      <c r="B203" s="3"/>
      <c r="C203" s="3"/>
      <c r="D203" s="3"/>
      <c r="E203" s="4"/>
      <c r="F203" s="5" t="str">
        <f t="shared" si="3"/>
        <v/>
      </c>
      <c r="G203" s="4"/>
    </row>
    <row r="204" spans="1:7" x14ac:dyDescent="0.3">
      <c r="A204" s="15"/>
      <c r="B204" s="3"/>
      <c r="C204" s="3"/>
      <c r="D204" s="3"/>
      <c r="E204" s="4"/>
      <c r="F204" s="5" t="str">
        <f t="shared" si="3"/>
        <v/>
      </c>
      <c r="G204" s="4"/>
    </row>
    <row r="205" spans="1:7" x14ac:dyDescent="0.3">
      <c r="A205" s="15"/>
      <c r="B205" s="3"/>
      <c r="C205" s="3"/>
      <c r="D205" s="3"/>
      <c r="E205" s="4"/>
      <c r="F205" s="5" t="str">
        <f t="shared" si="3"/>
        <v/>
      </c>
      <c r="G205" s="4"/>
    </row>
    <row r="206" spans="1:7" x14ac:dyDescent="0.3">
      <c r="A206" s="15"/>
      <c r="B206" s="3"/>
      <c r="C206" s="3"/>
      <c r="D206" s="3"/>
      <c r="E206" s="4"/>
      <c r="F206" s="5" t="str">
        <f t="shared" si="3"/>
        <v/>
      </c>
      <c r="G206" s="4"/>
    </row>
    <row r="207" spans="1:7" x14ac:dyDescent="0.3">
      <c r="A207" s="15"/>
      <c r="B207" s="3"/>
      <c r="C207" s="3"/>
      <c r="D207" s="3"/>
      <c r="E207" s="4"/>
      <c r="F207" s="5" t="str">
        <f t="shared" si="3"/>
        <v/>
      </c>
      <c r="G207" s="4"/>
    </row>
    <row r="208" spans="1:7" x14ac:dyDescent="0.3">
      <c r="A208" s="15"/>
      <c r="B208" s="3"/>
      <c r="C208" s="3"/>
      <c r="D208" s="3"/>
      <c r="E208" s="4"/>
      <c r="F208" s="5" t="str">
        <f t="shared" si="3"/>
        <v/>
      </c>
      <c r="G208" s="4"/>
    </row>
    <row r="209" spans="1:7" x14ac:dyDescent="0.3">
      <c r="A209" s="15"/>
      <c r="B209" s="3"/>
      <c r="C209" s="3"/>
      <c r="D209" s="3"/>
      <c r="E209" s="4"/>
      <c r="F209" s="5" t="str">
        <f t="shared" si="3"/>
        <v/>
      </c>
      <c r="G209" s="4"/>
    </row>
    <row r="210" spans="1:7" x14ac:dyDescent="0.3">
      <c r="A210" s="15"/>
      <c r="B210" s="3"/>
      <c r="C210" s="3"/>
      <c r="D210" s="3"/>
      <c r="E210" s="4"/>
      <c r="F210" s="5" t="str">
        <f t="shared" si="3"/>
        <v/>
      </c>
      <c r="G210" s="4"/>
    </row>
    <row r="211" spans="1:7" x14ac:dyDescent="0.3">
      <c r="A211" s="15"/>
      <c r="B211" s="3"/>
      <c r="C211" s="3"/>
      <c r="D211" s="3"/>
      <c r="E211" s="4"/>
      <c r="F211" s="5" t="str">
        <f t="shared" si="3"/>
        <v/>
      </c>
      <c r="G211" s="4"/>
    </row>
    <row r="212" spans="1:7" x14ac:dyDescent="0.3">
      <c r="A212" s="15"/>
      <c r="B212" s="3"/>
      <c r="C212" s="3"/>
      <c r="D212" s="3"/>
      <c r="E212" s="4"/>
      <c r="F212" s="5" t="str">
        <f t="shared" si="3"/>
        <v/>
      </c>
      <c r="G212" s="4"/>
    </row>
    <row r="213" spans="1:7" x14ac:dyDescent="0.3">
      <c r="A213" s="15"/>
      <c r="B213" s="3"/>
      <c r="C213" s="3"/>
      <c r="D213" s="3"/>
      <c r="E213" s="4"/>
      <c r="F213" s="5" t="str">
        <f t="shared" si="3"/>
        <v/>
      </c>
      <c r="G213" s="4"/>
    </row>
    <row r="214" spans="1:7" x14ac:dyDescent="0.3">
      <c r="A214" s="15"/>
      <c r="B214" s="3"/>
      <c r="C214" s="3"/>
      <c r="D214" s="3"/>
      <c r="E214" s="4"/>
      <c r="F214" s="5" t="str">
        <f t="shared" si="3"/>
        <v/>
      </c>
      <c r="G214" s="4"/>
    </row>
    <row r="215" spans="1:7" x14ac:dyDescent="0.3">
      <c r="A215" s="15"/>
      <c r="B215" s="3"/>
      <c r="C215" s="3"/>
      <c r="D215" s="3"/>
      <c r="E215" s="4"/>
      <c r="F215" s="5" t="str">
        <f t="shared" si="3"/>
        <v/>
      </c>
      <c r="G215" s="4"/>
    </row>
    <row r="216" spans="1:7" x14ac:dyDescent="0.3">
      <c r="A216" s="15"/>
      <c r="B216" s="3"/>
      <c r="C216" s="3"/>
      <c r="D216" s="3"/>
      <c r="E216" s="4"/>
      <c r="F216" s="5" t="str">
        <f t="shared" si="3"/>
        <v/>
      </c>
      <c r="G216" s="4"/>
    </row>
    <row r="217" spans="1:7" x14ac:dyDescent="0.3">
      <c r="A217" s="15"/>
      <c r="B217" s="3"/>
      <c r="C217" s="3"/>
      <c r="D217" s="3"/>
      <c r="E217" s="4"/>
      <c r="F217" s="5" t="str">
        <f t="shared" si="3"/>
        <v/>
      </c>
      <c r="G217" s="4"/>
    </row>
    <row r="218" spans="1:7" x14ac:dyDescent="0.3">
      <c r="A218" s="15"/>
      <c r="B218" s="3"/>
      <c r="C218" s="3"/>
      <c r="D218" s="3"/>
      <c r="E218" s="4"/>
      <c r="F218" s="5" t="str">
        <f t="shared" si="3"/>
        <v/>
      </c>
      <c r="G218" s="4"/>
    </row>
    <row r="219" spans="1:7" x14ac:dyDescent="0.3">
      <c r="A219" s="15"/>
      <c r="B219" s="3"/>
      <c r="C219" s="3"/>
      <c r="D219" s="3"/>
      <c r="E219" s="4"/>
      <c r="F219" s="5" t="str">
        <f t="shared" si="3"/>
        <v/>
      </c>
      <c r="G219" s="4"/>
    </row>
    <row r="220" spans="1:7" x14ac:dyDescent="0.3">
      <c r="A220" s="15"/>
      <c r="B220" s="3"/>
      <c r="C220" s="3"/>
      <c r="D220" s="3"/>
      <c r="E220" s="4"/>
      <c r="F220" s="5" t="str">
        <f t="shared" si="3"/>
        <v/>
      </c>
      <c r="G220" s="4"/>
    </row>
    <row r="221" spans="1:7" x14ac:dyDescent="0.3">
      <c r="A221" s="15"/>
      <c r="B221" s="3"/>
      <c r="C221" s="3"/>
      <c r="D221" s="3"/>
      <c r="E221" s="4"/>
      <c r="F221" s="5" t="str">
        <f t="shared" si="3"/>
        <v/>
      </c>
      <c r="G221" s="4"/>
    </row>
    <row r="222" spans="1:7" x14ac:dyDescent="0.3">
      <c r="A222" s="15"/>
      <c r="B222" s="3"/>
      <c r="C222" s="3"/>
      <c r="D222" s="3"/>
      <c r="E222" s="4"/>
      <c r="F222" s="5" t="str">
        <f t="shared" si="3"/>
        <v/>
      </c>
      <c r="G222" s="4"/>
    </row>
    <row r="223" spans="1:7" x14ac:dyDescent="0.3">
      <c r="A223" s="15"/>
      <c r="B223" s="3"/>
      <c r="C223" s="3"/>
      <c r="D223" s="3"/>
      <c r="E223" s="4"/>
      <c r="F223" s="5" t="str">
        <f t="shared" si="3"/>
        <v/>
      </c>
      <c r="G223" s="4"/>
    </row>
    <row r="224" spans="1:7" x14ac:dyDescent="0.3">
      <c r="A224" s="15"/>
      <c r="B224" s="3"/>
      <c r="C224" s="3"/>
      <c r="D224" s="3"/>
      <c r="E224" s="4"/>
      <c r="F224" s="5" t="str">
        <f t="shared" si="3"/>
        <v/>
      </c>
      <c r="G224" s="4"/>
    </row>
    <row r="225" spans="1:7" x14ac:dyDescent="0.3">
      <c r="A225" s="15"/>
      <c r="B225" s="3"/>
      <c r="C225" s="3"/>
      <c r="D225" s="3"/>
      <c r="E225" s="4"/>
      <c r="F225" s="5" t="str">
        <f t="shared" si="3"/>
        <v/>
      </c>
      <c r="G225" s="4"/>
    </row>
    <row r="226" spans="1:7" x14ac:dyDescent="0.3">
      <c r="A226" s="15"/>
      <c r="B226" s="3"/>
      <c r="C226" s="3"/>
      <c r="D226" s="3"/>
      <c r="E226" s="4"/>
      <c r="F226" s="5" t="str">
        <f t="shared" si="3"/>
        <v/>
      </c>
      <c r="G226" s="4"/>
    </row>
    <row r="227" spans="1:7" x14ac:dyDescent="0.3">
      <c r="A227" s="15"/>
      <c r="B227" s="3"/>
      <c r="C227" s="3"/>
      <c r="D227" s="3"/>
      <c r="E227" s="4"/>
      <c r="F227" s="5" t="str">
        <f t="shared" si="3"/>
        <v/>
      </c>
      <c r="G227" s="4"/>
    </row>
    <row r="228" spans="1:7" x14ac:dyDescent="0.3">
      <c r="A228" s="15"/>
      <c r="B228" s="3"/>
      <c r="C228" s="3"/>
      <c r="D228" s="3"/>
      <c r="E228" s="4"/>
      <c r="F228" s="5" t="str">
        <f t="shared" si="3"/>
        <v/>
      </c>
      <c r="G228" s="4"/>
    </row>
    <row r="229" spans="1:7" x14ac:dyDescent="0.3">
      <c r="A229" s="15"/>
      <c r="B229" s="3"/>
      <c r="C229" s="3"/>
      <c r="D229" s="3"/>
      <c r="E229" s="4"/>
      <c r="F229" s="5" t="str">
        <f t="shared" si="3"/>
        <v/>
      </c>
      <c r="G229" s="4"/>
    </row>
    <row r="230" spans="1:7" x14ac:dyDescent="0.3">
      <c r="A230" s="15"/>
      <c r="B230" s="3"/>
      <c r="C230" s="3"/>
      <c r="D230" s="3"/>
      <c r="E230" s="4"/>
      <c r="F230" s="5" t="str">
        <f t="shared" si="3"/>
        <v/>
      </c>
      <c r="G230" s="4"/>
    </row>
    <row r="231" spans="1:7" x14ac:dyDescent="0.3">
      <c r="A231" s="15"/>
      <c r="B231" s="3"/>
      <c r="C231" s="3"/>
      <c r="D231" s="3"/>
      <c r="E231" s="4"/>
      <c r="F231" s="5" t="str">
        <f t="shared" si="3"/>
        <v/>
      </c>
      <c r="G231" s="4"/>
    </row>
    <row r="232" spans="1:7" x14ac:dyDescent="0.3">
      <c r="A232" s="15"/>
      <c r="B232" s="3"/>
      <c r="C232" s="3"/>
      <c r="D232" s="3"/>
      <c r="E232" s="4"/>
      <c r="F232" s="5" t="str">
        <f t="shared" si="3"/>
        <v/>
      </c>
      <c r="G232" s="4"/>
    </row>
    <row r="233" spans="1:7" x14ac:dyDescent="0.3">
      <c r="A233" s="15"/>
      <c r="B233" s="3"/>
      <c r="C233" s="3"/>
      <c r="D233" s="3"/>
      <c r="E233" s="4"/>
      <c r="F233" s="5" t="str">
        <f t="shared" si="3"/>
        <v/>
      </c>
      <c r="G233" s="4"/>
    </row>
    <row r="234" spans="1:7" x14ac:dyDescent="0.3">
      <c r="A234" s="15"/>
      <c r="B234" s="3"/>
      <c r="C234" s="3"/>
      <c r="D234" s="3"/>
      <c r="E234" s="4"/>
      <c r="F234" s="5" t="str">
        <f t="shared" si="3"/>
        <v/>
      </c>
      <c r="G234" s="4"/>
    </row>
    <row r="235" spans="1:7" x14ac:dyDescent="0.3">
      <c r="A235" s="15"/>
      <c r="B235" s="3"/>
      <c r="C235" s="3"/>
      <c r="D235" s="3"/>
      <c r="E235" s="4"/>
      <c r="F235" s="5" t="str">
        <f t="shared" si="3"/>
        <v/>
      </c>
      <c r="G235" s="4"/>
    </row>
    <row r="236" spans="1:7" x14ac:dyDescent="0.3">
      <c r="A236" s="15"/>
      <c r="B236" s="3"/>
      <c r="C236" s="3"/>
      <c r="D236" s="3"/>
      <c r="E236" s="4"/>
      <c r="F236" s="5" t="str">
        <f t="shared" si="3"/>
        <v/>
      </c>
      <c r="G236" s="4"/>
    </row>
    <row r="237" spans="1:7" x14ac:dyDescent="0.3">
      <c r="A237" s="15"/>
      <c r="B237" s="3"/>
      <c r="C237" s="3"/>
      <c r="D237" s="3"/>
      <c r="E237" s="4"/>
      <c r="F237" s="5" t="str">
        <f t="shared" si="3"/>
        <v/>
      </c>
      <c r="G237" s="4"/>
    </row>
    <row r="238" spans="1:7" x14ac:dyDescent="0.3">
      <c r="A238" s="15"/>
      <c r="B238" s="3"/>
      <c r="C238" s="3"/>
      <c r="D238" s="3"/>
      <c r="E238" s="4"/>
      <c r="F238" s="5" t="str">
        <f t="shared" si="3"/>
        <v/>
      </c>
      <c r="G238" s="4"/>
    </row>
    <row r="239" spans="1:7" x14ac:dyDescent="0.3">
      <c r="A239" s="15"/>
      <c r="B239" s="3"/>
      <c r="C239" s="3"/>
      <c r="D239" s="3"/>
      <c r="E239" s="4"/>
      <c r="F239" s="5" t="str">
        <f t="shared" si="3"/>
        <v/>
      </c>
      <c r="G239" s="4"/>
    </row>
    <row r="240" spans="1:7" x14ac:dyDescent="0.3">
      <c r="A240" s="15"/>
      <c r="B240" s="3"/>
      <c r="C240" s="3"/>
      <c r="D240" s="3"/>
      <c r="E240" s="4"/>
      <c r="F240" s="5" t="str">
        <f t="shared" si="3"/>
        <v/>
      </c>
      <c r="G240" s="4"/>
    </row>
    <row r="241" spans="1:7" x14ac:dyDescent="0.3">
      <c r="A241" s="15"/>
      <c r="B241" s="3"/>
      <c r="C241" s="3"/>
      <c r="D241" s="3"/>
      <c r="E241" s="4"/>
      <c r="F241" s="5" t="str">
        <f t="shared" si="3"/>
        <v/>
      </c>
      <c r="G241" s="4"/>
    </row>
    <row r="242" spans="1:7" x14ac:dyDescent="0.3">
      <c r="A242" s="15"/>
      <c r="B242" s="3"/>
      <c r="C242" s="3"/>
      <c r="D242" s="3"/>
      <c r="E242" s="4"/>
      <c r="F242" s="5" t="str">
        <f t="shared" si="3"/>
        <v/>
      </c>
      <c r="G242" s="4"/>
    </row>
    <row r="243" spans="1:7" x14ac:dyDescent="0.3">
      <c r="A243" s="15"/>
      <c r="B243" s="3"/>
      <c r="C243" s="3"/>
      <c r="D243" s="3"/>
      <c r="E243" s="4"/>
      <c r="F243" s="5" t="str">
        <f t="shared" si="3"/>
        <v/>
      </c>
      <c r="G243" s="4"/>
    </row>
    <row r="244" spans="1:7" x14ac:dyDescent="0.3">
      <c r="A244" s="15"/>
      <c r="B244" s="3"/>
      <c r="C244" s="3"/>
      <c r="D244" s="3"/>
      <c r="E244" s="4"/>
      <c r="F244" s="5" t="str">
        <f t="shared" si="3"/>
        <v/>
      </c>
      <c r="G244" s="4"/>
    </row>
    <row r="245" spans="1:7" x14ac:dyDescent="0.3">
      <c r="A245" s="15"/>
      <c r="B245" s="3"/>
      <c r="C245" s="3"/>
      <c r="D245" s="3"/>
      <c r="E245" s="4"/>
      <c r="F245" s="5" t="str">
        <f t="shared" si="3"/>
        <v/>
      </c>
      <c r="G245" s="4"/>
    </row>
    <row r="246" spans="1:7" x14ac:dyDescent="0.3">
      <c r="A246" s="15"/>
      <c r="B246" s="3"/>
      <c r="C246" s="3"/>
      <c r="D246" s="3"/>
      <c r="E246" s="4"/>
      <c r="F246" s="5" t="str">
        <f t="shared" si="3"/>
        <v/>
      </c>
      <c r="G246" s="4"/>
    </row>
    <row r="247" spans="1:7" x14ac:dyDescent="0.3">
      <c r="A247" s="15"/>
      <c r="B247" s="3"/>
      <c r="C247" s="3"/>
      <c r="D247" s="3"/>
      <c r="E247" s="4"/>
      <c r="F247" s="5" t="str">
        <f t="shared" si="3"/>
        <v/>
      </c>
      <c r="G247" s="4"/>
    </row>
    <row r="248" spans="1:7" x14ac:dyDescent="0.3">
      <c r="A248" s="15"/>
      <c r="B248" s="3"/>
      <c r="C248" s="3"/>
      <c r="D248" s="3"/>
      <c r="E248" s="4"/>
      <c r="F248" s="5" t="str">
        <f t="shared" si="3"/>
        <v/>
      </c>
      <c r="G248" s="4"/>
    </row>
    <row r="249" spans="1:7" x14ac:dyDescent="0.3">
      <c r="A249" s="15"/>
      <c r="B249" s="3"/>
      <c r="C249" s="3"/>
      <c r="D249" s="3"/>
      <c r="E249" s="4"/>
      <c r="F249" s="5" t="str">
        <f t="shared" si="3"/>
        <v/>
      </c>
      <c r="G249" s="4"/>
    </row>
    <row r="250" spans="1:7" x14ac:dyDescent="0.3">
      <c r="A250" s="15"/>
      <c r="B250" s="3"/>
      <c r="C250" s="3"/>
      <c r="D250" s="3"/>
      <c r="E250" s="4"/>
      <c r="F250" s="5" t="str">
        <f t="shared" si="3"/>
        <v/>
      </c>
      <c r="G250" s="4"/>
    </row>
    <row r="251" spans="1:7" x14ac:dyDescent="0.3">
      <c r="A251" s="15"/>
      <c r="B251" s="3"/>
      <c r="C251" s="3"/>
      <c r="D251" s="3"/>
      <c r="E251" s="4"/>
      <c r="F251" s="5" t="str">
        <f t="shared" si="3"/>
        <v/>
      </c>
      <c r="G251" s="4"/>
    </row>
    <row r="252" spans="1:7" x14ac:dyDescent="0.3">
      <c r="A252" s="15"/>
      <c r="B252" s="3"/>
      <c r="C252" s="3"/>
      <c r="D252" s="3"/>
      <c r="E252" s="4"/>
      <c r="F252" s="5" t="str">
        <f t="shared" si="3"/>
        <v/>
      </c>
      <c r="G252" s="4"/>
    </row>
    <row r="253" spans="1:7" x14ac:dyDescent="0.3">
      <c r="A253" s="15"/>
      <c r="B253" s="3"/>
      <c r="C253" s="3"/>
      <c r="D253" s="3"/>
      <c r="E253" s="4"/>
      <c r="F253" s="5" t="str">
        <f t="shared" si="3"/>
        <v/>
      </c>
      <c r="G253" s="4"/>
    </row>
    <row r="254" spans="1:7" x14ac:dyDescent="0.3">
      <c r="A254" s="15"/>
      <c r="B254" s="3"/>
      <c r="C254" s="3"/>
      <c r="D254" s="3"/>
      <c r="E254" s="4"/>
      <c r="F254" s="5" t="str">
        <f t="shared" si="3"/>
        <v/>
      </c>
      <c r="G254" s="4"/>
    </row>
    <row r="255" spans="1:7" x14ac:dyDescent="0.3">
      <c r="A255" s="15"/>
      <c r="B255" s="3"/>
      <c r="C255" s="3"/>
      <c r="D255" s="3"/>
      <c r="E255" s="4"/>
      <c r="F255" s="5" t="str">
        <f t="shared" si="3"/>
        <v/>
      </c>
      <c r="G255" s="4"/>
    </row>
    <row r="256" spans="1:7" x14ac:dyDescent="0.3">
      <c r="A256" s="15"/>
      <c r="B256" s="3"/>
      <c r="C256" s="3"/>
      <c r="D256" s="3"/>
      <c r="E256" s="4"/>
      <c r="F256" s="5" t="str">
        <f t="shared" si="3"/>
        <v/>
      </c>
      <c r="G256" s="4"/>
    </row>
    <row r="257" spans="1:7" x14ac:dyDescent="0.3">
      <c r="A257" s="15"/>
      <c r="B257" s="3"/>
      <c r="C257" s="3"/>
      <c r="D257" s="3"/>
      <c r="E257" s="4"/>
      <c r="F257" s="5" t="str">
        <f t="shared" si="3"/>
        <v/>
      </c>
      <c r="G257" s="4"/>
    </row>
    <row r="258" spans="1:7" x14ac:dyDescent="0.3">
      <c r="A258" s="15"/>
      <c r="B258" s="3"/>
      <c r="C258" s="3"/>
      <c r="D258" s="3"/>
      <c r="E258" s="4"/>
      <c r="F258" s="5" t="str">
        <f t="shared" si="3"/>
        <v/>
      </c>
      <c r="G258" s="4"/>
    </row>
    <row r="259" spans="1:7" x14ac:dyDescent="0.3">
      <c r="A259" s="15"/>
      <c r="B259" s="3"/>
      <c r="C259" s="3"/>
      <c r="D259" s="3"/>
      <c r="E259" s="4"/>
      <c r="F259" s="5" t="str">
        <f t="shared" si="3"/>
        <v/>
      </c>
      <c r="G259" s="4"/>
    </row>
    <row r="260" spans="1:7" x14ac:dyDescent="0.3">
      <c r="A260" s="15"/>
      <c r="B260" s="3"/>
      <c r="C260" s="3"/>
      <c r="D260" s="3"/>
      <c r="E260" s="4"/>
      <c r="F260" s="5" t="str">
        <f t="shared" ref="F260:F323" si="4">IF(OR(D260="", E260=""), "", D260*E260)</f>
        <v/>
      </c>
      <c r="G260" s="4"/>
    </row>
    <row r="261" spans="1:7" x14ac:dyDescent="0.3">
      <c r="A261" s="15"/>
      <c r="B261" s="3"/>
      <c r="C261" s="3"/>
      <c r="D261" s="3"/>
      <c r="E261" s="4"/>
      <c r="F261" s="5" t="str">
        <f t="shared" si="4"/>
        <v/>
      </c>
      <c r="G261" s="4"/>
    </row>
    <row r="262" spans="1:7" x14ac:dyDescent="0.3">
      <c r="A262" s="15"/>
      <c r="B262" s="3"/>
      <c r="C262" s="3"/>
      <c r="D262" s="3"/>
      <c r="E262" s="4"/>
      <c r="F262" s="5" t="str">
        <f t="shared" si="4"/>
        <v/>
      </c>
      <c r="G262" s="4"/>
    </row>
    <row r="263" spans="1:7" x14ac:dyDescent="0.3">
      <c r="A263" s="15"/>
      <c r="B263" s="3"/>
      <c r="C263" s="3"/>
      <c r="D263" s="3"/>
      <c r="E263" s="4"/>
      <c r="F263" s="5" t="str">
        <f t="shared" si="4"/>
        <v/>
      </c>
      <c r="G263" s="4"/>
    </row>
    <row r="264" spans="1:7" x14ac:dyDescent="0.3">
      <c r="A264" s="15"/>
      <c r="B264" s="3"/>
      <c r="C264" s="3"/>
      <c r="D264" s="3"/>
      <c r="E264" s="4"/>
      <c r="F264" s="5" t="str">
        <f t="shared" si="4"/>
        <v/>
      </c>
      <c r="G264" s="4"/>
    </row>
    <row r="265" spans="1:7" x14ac:dyDescent="0.3">
      <c r="A265" s="15"/>
      <c r="B265" s="3"/>
      <c r="C265" s="3"/>
      <c r="D265" s="3"/>
      <c r="E265" s="4"/>
      <c r="F265" s="5" t="str">
        <f t="shared" si="4"/>
        <v/>
      </c>
      <c r="G265" s="4"/>
    </row>
    <row r="266" spans="1:7" x14ac:dyDescent="0.3">
      <c r="A266" s="15"/>
      <c r="B266" s="3"/>
      <c r="C266" s="3"/>
      <c r="D266" s="3"/>
      <c r="E266" s="4"/>
      <c r="F266" s="5" t="str">
        <f t="shared" si="4"/>
        <v/>
      </c>
      <c r="G266" s="4"/>
    </row>
    <row r="267" spans="1:7" x14ac:dyDescent="0.3">
      <c r="A267" s="15"/>
      <c r="B267" s="3"/>
      <c r="C267" s="3"/>
      <c r="D267" s="3"/>
      <c r="E267" s="4"/>
      <c r="F267" s="5" t="str">
        <f t="shared" si="4"/>
        <v/>
      </c>
      <c r="G267" s="4"/>
    </row>
    <row r="268" spans="1:7" x14ac:dyDescent="0.3">
      <c r="A268" s="15"/>
      <c r="B268" s="3"/>
      <c r="C268" s="3"/>
      <c r="D268" s="3"/>
      <c r="E268" s="4"/>
      <c r="F268" s="5" t="str">
        <f t="shared" si="4"/>
        <v/>
      </c>
      <c r="G268" s="4"/>
    </row>
    <row r="269" spans="1:7" x14ac:dyDescent="0.3">
      <c r="A269" s="15"/>
      <c r="B269" s="3"/>
      <c r="C269" s="3"/>
      <c r="D269" s="3"/>
      <c r="E269" s="4"/>
      <c r="F269" s="5" t="str">
        <f t="shared" si="4"/>
        <v/>
      </c>
      <c r="G269" s="4"/>
    </row>
    <row r="270" spans="1:7" x14ac:dyDescent="0.3">
      <c r="A270" s="15"/>
      <c r="B270" s="3"/>
      <c r="C270" s="3"/>
      <c r="D270" s="3"/>
      <c r="E270" s="4"/>
      <c r="F270" s="5" t="str">
        <f t="shared" si="4"/>
        <v/>
      </c>
      <c r="G270" s="4"/>
    </row>
    <row r="271" spans="1:7" x14ac:dyDescent="0.3">
      <c r="A271" s="15"/>
      <c r="B271" s="3"/>
      <c r="C271" s="3"/>
      <c r="D271" s="3"/>
      <c r="E271" s="4"/>
      <c r="F271" s="5" t="str">
        <f t="shared" si="4"/>
        <v/>
      </c>
      <c r="G271" s="4"/>
    </row>
    <row r="272" spans="1:7" x14ac:dyDescent="0.3">
      <c r="A272" s="15"/>
      <c r="B272" s="3"/>
      <c r="C272" s="3"/>
      <c r="D272" s="3"/>
      <c r="E272" s="4"/>
      <c r="F272" s="5" t="str">
        <f t="shared" si="4"/>
        <v/>
      </c>
      <c r="G272" s="4"/>
    </row>
    <row r="273" spans="1:7" x14ac:dyDescent="0.3">
      <c r="A273" s="15"/>
      <c r="B273" s="3"/>
      <c r="C273" s="3"/>
      <c r="D273" s="3"/>
      <c r="E273" s="4"/>
      <c r="F273" s="5" t="str">
        <f t="shared" si="4"/>
        <v/>
      </c>
      <c r="G273" s="4"/>
    </row>
    <row r="274" spans="1:7" x14ac:dyDescent="0.3">
      <c r="A274" s="15"/>
      <c r="B274" s="3"/>
      <c r="C274" s="3"/>
      <c r="D274" s="3"/>
      <c r="E274" s="4"/>
      <c r="F274" s="5" t="str">
        <f t="shared" si="4"/>
        <v/>
      </c>
      <c r="G274" s="4"/>
    </row>
    <row r="275" spans="1:7" x14ac:dyDescent="0.3">
      <c r="A275" s="15"/>
      <c r="B275" s="3"/>
      <c r="C275" s="3"/>
      <c r="D275" s="3"/>
      <c r="E275" s="4"/>
      <c r="F275" s="5" t="str">
        <f t="shared" si="4"/>
        <v/>
      </c>
      <c r="G275" s="4"/>
    </row>
    <row r="276" spans="1:7" x14ac:dyDescent="0.3">
      <c r="A276" s="15"/>
      <c r="B276" s="3"/>
      <c r="C276" s="3"/>
      <c r="D276" s="3"/>
      <c r="E276" s="4"/>
      <c r="F276" s="5" t="str">
        <f t="shared" si="4"/>
        <v/>
      </c>
      <c r="G276" s="4"/>
    </row>
    <row r="277" spans="1:7" x14ac:dyDescent="0.3">
      <c r="A277" s="15"/>
      <c r="B277" s="3"/>
      <c r="C277" s="3"/>
      <c r="D277" s="3"/>
      <c r="E277" s="4"/>
      <c r="F277" s="5" t="str">
        <f t="shared" si="4"/>
        <v/>
      </c>
      <c r="G277" s="4"/>
    </row>
    <row r="278" spans="1:7" x14ac:dyDescent="0.3">
      <c r="A278" s="15"/>
      <c r="B278" s="3"/>
      <c r="C278" s="3"/>
      <c r="D278" s="3"/>
      <c r="E278" s="4"/>
      <c r="F278" s="5" t="str">
        <f t="shared" si="4"/>
        <v/>
      </c>
      <c r="G278" s="4"/>
    </row>
    <row r="279" spans="1:7" x14ac:dyDescent="0.3">
      <c r="A279" s="15"/>
      <c r="B279" s="3"/>
      <c r="C279" s="3"/>
      <c r="D279" s="3"/>
      <c r="E279" s="4"/>
      <c r="F279" s="5" t="str">
        <f t="shared" si="4"/>
        <v/>
      </c>
      <c r="G279" s="4"/>
    </row>
    <row r="280" spans="1:7" x14ac:dyDescent="0.3">
      <c r="A280" s="15"/>
      <c r="B280" s="3"/>
      <c r="C280" s="3"/>
      <c r="D280" s="3"/>
      <c r="E280" s="4"/>
      <c r="F280" s="5" t="str">
        <f t="shared" si="4"/>
        <v/>
      </c>
      <c r="G280" s="4"/>
    </row>
    <row r="281" spans="1:7" x14ac:dyDescent="0.3">
      <c r="A281" s="15"/>
      <c r="B281" s="3"/>
      <c r="C281" s="3"/>
      <c r="D281" s="3"/>
      <c r="E281" s="4"/>
      <c r="F281" s="5" t="str">
        <f t="shared" si="4"/>
        <v/>
      </c>
      <c r="G281" s="4"/>
    </row>
    <row r="282" spans="1:7" x14ac:dyDescent="0.3">
      <c r="A282" s="15"/>
      <c r="B282" s="3"/>
      <c r="C282" s="3"/>
      <c r="D282" s="3"/>
      <c r="E282" s="4"/>
      <c r="F282" s="5" t="str">
        <f t="shared" si="4"/>
        <v/>
      </c>
      <c r="G282" s="4"/>
    </row>
    <row r="283" spans="1:7" x14ac:dyDescent="0.3">
      <c r="A283" s="15"/>
      <c r="B283" s="3"/>
      <c r="C283" s="3"/>
      <c r="D283" s="3"/>
      <c r="E283" s="4"/>
      <c r="F283" s="5" t="str">
        <f t="shared" si="4"/>
        <v/>
      </c>
      <c r="G283" s="4"/>
    </row>
    <row r="284" spans="1:7" x14ac:dyDescent="0.3">
      <c r="A284" s="15"/>
      <c r="B284" s="3"/>
      <c r="C284" s="3"/>
      <c r="D284" s="3"/>
      <c r="E284" s="4"/>
      <c r="F284" s="5" t="str">
        <f t="shared" si="4"/>
        <v/>
      </c>
      <c r="G284" s="4"/>
    </row>
    <row r="285" spans="1:7" x14ac:dyDescent="0.3">
      <c r="A285" s="15"/>
      <c r="B285" s="3"/>
      <c r="C285" s="3"/>
      <c r="D285" s="3"/>
      <c r="E285" s="4"/>
      <c r="F285" s="5" t="str">
        <f t="shared" si="4"/>
        <v/>
      </c>
      <c r="G285" s="4"/>
    </row>
    <row r="286" spans="1:7" x14ac:dyDescent="0.3">
      <c r="A286" s="15"/>
      <c r="B286" s="3"/>
      <c r="C286" s="3"/>
      <c r="D286" s="3"/>
      <c r="E286" s="4"/>
      <c r="F286" s="5" t="str">
        <f t="shared" si="4"/>
        <v/>
      </c>
      <c r="G286" s="4"/>
    </row>
    <row r="287" spans="1:7" x14ac:dyDescent="0.3">
      <c r="A287" s="15"/>
      <c r="B287" s="3"/>
      <c r="C287" s="3"/>
      <c r="D287" s="3"/>
      <c r="E287" s="4"/>
      <c r="F287" s="5" t="str">
        <f t="shared" si="4"/>
        <v/>
      </c>
      <c r="G287" s="4"/>
    </row>
    <row r="288" spans="1:7" x14ac:dyDescent="0.3">
      <c r="A288" s="15"/>
      <c r="B288" s="3"/>
      <c r="C288" s="3"/>
      <c r="D288" s="3"/>
      <c r="E288" s="4"/>
      <c r="F288" s="5" t="str">
        <f t="shared" si="4"/>
        <v/>
      </c>
      <c r="G288" s="4"/>
    </row>
    <row r="289" spans="1:7" x14ac:dyDescent="0.3">
      <c r="A289" s="15"/>
      <c r="B289" s="3"/>
      <c r="C289" s="3"/>
      <c r="D289" s="3"/>
      <c r="E289" s="4"/>
      <c r="F289" s="5" t="str">
        <f t="shared" si="4"/>
        <v/>
      </c>
      <c r="G289" s="4"/>
    </row>
    <row r="290" spans="1:7" x14ac:dyDescent="0.3">
      <c r="A290" s="15"/>
      <c r="B290" s="3"/>
      <c r="C290" s="3"/>
      <c r="D290" s="3"/>
      <c r="E290" s="4"/>
      <c r="F290" s="5" t="str">
        <f t="shared" si="4"/>
        <v/>
      </c>
      <c r="G290" s="4"/>
    </row>
    <row r="291" spans="1:7" x14ac:dyDescent="0.3">
      <c r="A291" s="15"/>
      <c r="B291" s="3"/>
      <c r="C291" s="3"/>
      <c r="D291" s="3"/>
      <c r="E291" s="4"/>
      <c r="F291" s="5" t="str">
        <f t="shared" si="4"/>
        <v/>
      </c>
      <c r="G291" s="4"/>
    </row>
    <row r="292" spans="1:7" x14ac:dyDescent="0.3">
      <c r="A292" s="15"/>
      <c r="B292" s="3"/>
      <c r="C292" s="3"/>
      <c r="D292" s="3"/>
      <c r="E292" s="4"/>
      <c r="F292" s="5" t="str">
        <f t="shared" si="4"/>
        <v/>
      </c>
      <c r="G292" s="4"/>
    </row>
    <row r="293" spans="1:7" x14ac:dyDescent="0.3">
      <c r="A293" s="15"/>
      <c r="B293" s="3"/>
      <c r="C293" s="3"/>
      <c r="D293" s="3"/>
      <c r="E293" s="4"/>
      <c r="F293" s="5" t="str">
        <f t="shared" si="4"/>
        <v/>
      </c>
      <c r="G293" s="4"/>
    </row>
    <row r="294" spans="1:7" x14ac:dyDescent="0.3">
      <c r="A294" s="15"/>
      <c r="B294" s="3"/>
      <c r="C294" s="3"/>
      <c r="D294" s="3"/>
      <c r="E294" s="4"/>
      <c r="F294" s="5" t="str">
        <f t="shared" si="4"/>
        <v/>
      </c>
      <c r="G294" s="4"/>
    </row>
    <row r="295" spans="1:7" x14ac:dyDescent="0.3">
      <c r="A295" s="15"/>
      <c r="B295" s="3"/>
      <c r="C295" s="3"/>
      <c r="D295" s="3"/>
      <c r="E295" s="4"/>
      <c r="F295" s="5" t="str">
        <f t="shared" si="4"/>
        <v/>
      </c>
      <c r="G295" s="4"/>
    </row>
    <row r="296" spans="1:7" x14ac:dyDescent="0.3">
      <c r="A296" s="15"/>
      <c r="B296" s="3"/>
      <c r="C296" s="3"/>
      <c r="D296" s="3"/>
      <c r="E296" s="4"/>
      <c r="F296" s="5" t="str">
        <f t="shared" si="4"/>
        <v/>
      </c>
      <c r="G296" s="4"/>
    </row>
    <row r="297" spans="1:7" x14ac:dyDescent="0.3">
      <c r="A297" s="15"/>
      <c r="B297" s="3"/>
      <c r="C297" s="3"/>
      <c r="D297" s="3"/>
      <c r="E297" s="4"/>
      <c r="F297" s="5" t="str">
        <f t="shared" si="4"/>
        <v/>
      </c>
      <c r="G297" s="4"/>
    </row>
    <row r="298" spans="1:7" x14ac:dyDescent="0.3">
      <c r="A298" s="15"/>
      <c r="B298" s="3"/>
      <c r="C298" s="3"/>
      <c r="D298" s="3"/>
      <c r="E298" s="4"/>
      <c r="F298" s="5" t="str">
        <f t="shared" si="4"/>
        <v/>
      </c>
      <c r="G298" s="4"/>
    </row>
    <row r="299" spans="1:7" x14ac:dyDescent="0.3">
      <c r="A299" s="15"/>
      <c r="B299" s="3"/>
      <c r="C299" s="3"/>
      <c r="D299" s="3"/>
      <c r="E299" s="4"/>
      <c r="F299" s="5" t="str">
        <f t="shared" si="4"/>
        <v/>
      </c>
      <c r="G299" s="4"/>
    </row>
    <row r="300" spans="1:7" x14ac:dyDescent="0.3">
      <c r="A300" s="15"/>
      <c r="B300" s="3"/>
      <c r="C300" s="3"/>
      <c r="D300" s="3"/>
      <c r="E300" s="4"/>
      <c r="F300" s="5" t="str">
        <f t="shared" si="4"/>
        <v/>
      </c>
      <c r="G300" s="4"/>
    </row>
    <row r="301" spans="1:7" x14ac:dyDescent="0.3">
      <c r="A301" s="15"/>
      <c r="B301" s="3"/>
      <c r="C301" s="3"/>
      <c r="D301" s="3"/>
      <c r="E301" s="4"/>
      <c r="F301" s="5" t="str">
        <f t="shared" si="4"/>
        <v/>
      </c>
      <c r="G301" s="4"/>
    </row>
    <row r="302" spans="1:7" x14ac:dyDescent="0.3">
      <c r="A302" s="15"/>
      <c r="B302" s="3"/>
      <c r="C302" s="3"/>
      <c r="D302" s="3"/>
      <c r="E302" s="4"/>
      <c r="F302" s="5" t="str">
        <f t="shared" si="4"/>
        <v/>
      </c>
      <c r="G302" s="4"/>
    </row>
    <row r="303" spans="1:7" x14ac:dyDescent="0.3">
      <c r="A303" s="15"/>
      <c r="B303" s="3"/>
      <c r="C303" s="3"/>
      <c r="D303" s="3"/>
      <c r="E303" s="4"/>
      <c r="F303" s="5" t="str">
        <f t="shared" si="4"/>
        <v/>
      </c>
      <c r="G303" s="4"/>
    </row>
    <row r="304" spans="1:7" x14ac:dyDescent="0.3">
      <c r="A304" s="15"/>
      <c r="B304" s="3"/>
      <c r="C304" s="3"/>
      <c r="D304" s="3"/>
      <c r="E304" s="4"/>
      <c r="F304" s="5" t="str">
        <f t="shared" si="4"/>
        <v/>
      </c>
      <c r="G304" s="4"/>
    </row>
    <row r="305" spans="1:7" x14ac:dyDescent="0.3">
      <c r="A305" s="15"/>
      <c r="B305" s="3"/>
      <c r="C305" s="3"/>
      <c r="D305" s="3"/>
      <c r="E305" s="4"/>
      <c r="F305" s="5" t="str">
        <f t="shared" si="4"/>
        <v/>
      </c>
      <c r="G305" s="4"/>
    </row>
    <row r="306" spans="1:7" x14ac:dyDescent="0.3">
      <c r="A306" s="15"/>
      <c r="B306" s="3"/>
      <c r="C306" s="3"/>
      <c r="D306" s="3"/>
      <c r="E306" s="4"/>
      <c r="F306" s="5" t="str">
        <f t="shared" si="4"/>
        <v/>
      </c>
      <c r="G306" s="4"/>
    </row>
    <row r="307" spans="1:7" x14ac:dyDescent="0.3">
      <c r="A307" s="15"/>
      <c r="B307" s="3"/>
      <c r="C307" s="3"/>
      <c r="D307" s="3"/>
      <c r="E307" s="4"/>
      <c r="F307" s="5" t="str">
        <f t="shared" si="4"/>
        <v/>
      </c>
      <c r="G307" s="4"/>
    </row>
    <row r="308" spans="1:7" x14ac:dyDescent="0.3">
      <c r="A308" s="15"/>
      <c r="B308" s="3"/>
      <c r="C308" s="3"/>
      <c r="D308" s="3"/>
      <c r="E308" s="4"/>
      <c r="F308" s="5" t="str">
        <f t="shared" si="4"/>
        <v/>
      </c>
      <c r="G308" s="4"/>
    </row>
    <row r="309" spans="1:7" x14ac:dyDescent="0.3">
      <c r="A309" s="15"/>
      <c r="B309" s="3"/>
      <c r="C309" s="3"/>
      <c r="D309" s="3"/>
      <c r="E309" s="4"/>
      <c r="F309" s="5" t="str">
        <f t="shared" si="4"/>
        <v/>
      </c>
      <c r="G309" s="4"/>
    </row>
    <row r="310" spans="1:7" x14ac:dyDescent="0.3">
      <c r="A310" s="15"/>
      <c r="B310" s="3"/>
      <c r="C310" s="3"/>
      <c r="D310" s="3"/>
      <c r="E310" s="4"/>
      <c r="F310" s="5" t="str">
        <f t="shared" si="4"/>
        <v/>
      </c>
      <c r="G310" s="4"/>
    </row>
    <row r="311" spans="1:7" x14ac:dyDescent="0.3">
      <c r="A311" s="15"/>
      <c r="B311" s="3"/>
      <c r="C311" s="3"/>
      <c r="D311" s="3"/>
      <c r="E311" s="4"/>
      <c r="F311" s="5" t="str">
        <f t="shared" si="4"/>
        <v/>
      </c>
      <c r="G311" s="4"/>
    </row>
    <row r="312" spans="1:7" x14ac:dyDescent="0.3">
      <c r="A312" s="15"/>
      <c r="B312" s="3"/>
      <c r="C312" s="3"/>
      <c r="D312" s="3"/>
      <c r="E312" s="4"/>
      <c r="F312" s="5" t="str">
        <f t="shared" si="4"/>
        <v/>
      </c>
      <c r="G312" s="4"/>
    </row>
    <row r="313" spans="1:7" x14ac:dyDescent="0.3">
      <c r="A313" s="15"/>
      <c r="B313" s="3"/>
      <c r="C313" s="3"/>
      <c r="D313" s="3"/>
      <c r="E313" s="4"/>
      <c r="F313" s="5" t="str">
        <f t="shared" si="4"/>
        <v/>
      </c>
      <c r="G313" s="4"/>
    </row>
    <row r="314" spans="1:7" x14ac:dyDescent="0.3">
      <c r="A314" s="15"/>
      <c r="B314" s="3"/>
      <c r="C314" s="3"/>
      <c r="D314" s="3"/>
      <c r="E314" s="4"/>
      <c r="F314" s="5" t="str">
        <f t="shared" si="4"/>
        <v/>
      </c>
      <c r="G314" s="4"/>
    </row>
    <row r="315" spans="1:7" x14ac:dyDescent="0.3">
      <c r="A315" s="15"/>
      <c r="B315" s="3"/>
      <c r="C315" s="3"/>
      <c r="D315" s="3"/>
      <c r="E315" s="4"/>
      <c r="F315" s="5" t="str">
        <f t="shared" si="4"/>
        <v/>
      </c>
      <c r="G315" s="4"/>
    </row>
    <row r="316" spans="1:7" x14ac:dyDescent="0.3">
      <c r="A316" s="15"/>
      <c r="B316" s="3"/>
      <c r="C316" s="3"/>
      <c r="D316" s="3"/>
      <c r="E316" s="4"/>
      <c r="F316" s="5" t="str">
        <f t="shared" si="4"/>
        <v/>
      </c>
      <c r="G316" s="4"/>
    </row>
    <row r="317" spans="1:7" x14ac:dyDescent="0.3">
      <c r="A317" s="15"/>
      <c r="B317" s="3"/>
      <c r="C317" s="3"/>
      <c r="D317" s="3"/>
      <c r="E317" s="4"/>
      <c r="F317" s="5" t="str">
        <f t="shared" si="4"/>
        <v/>
      </c>
      <c r="G317" s="4"/>
    </row>
    <row r="318" spans="1:7" x14ac:dyDescent="0.3">
      <c r="A318" s="15"/>
      <c r="B318" s="3"/>
      <c r="C318" s="3"/>
      <c r="D318" s="3"/>
      <c r="E318" s="4"/>
      <c r="F318" s="5" t="str">
        <f t="shared" si="4"/>
        <v/>
      </c>
      <c r="G318" s="4"/>
    </row>
    <row r="319" spans="1:7" x14ac:dyDescent="0.3">
      <c r="A319" s="15"/>
      <c r="B319" s="3"/>
      <c r="C319" s="3"/>
      <c r="D319" s="3"/>
      <c r="E319" s="4"/>
      <c r="F319" s="5" t="str">
        <f t="shared" si="4"/>
        <v/>
      </c>
      <c r="G319" s="4"/>
    </row>
    <row r="320" spans="1:7" x14ac:dyDescent="0.3">
      <c r="A320" s="15"/>
      <c r="B320" s="3"/>
      <c r="C320" s="3"/>
      <c r="D320" s="3"/>
      <c r="E320" s="4"/>
      <c r="F320" s="5" t="str">
        <f t="shared" si="4"/>
        <v/>
      </c>
      <c r="G320" s="4"/>
    </row>
    <row r="321" spans="1:7" x14ac:dyDescent="0.3">
      <c r="A321" s="15"/>
      <c r="B321" s="3"/>
      <c r="C321" s="3"/>
      <c r="D321" s="3"/>
      <c r="E321" s="4"/>
      <c r="F321" s="5" t="str">
        <f t="shared" si="4"/>
        <v/>
      </c>
      <c r="G321" s="4"/>
    </row>
    <row r="322" spans="1:7" x14ac:dyDescent="0.3">
      <c r="A322" s="15"/>
      <c r="B322" s="3"/>
      <c r="C322" s="3"/>
      <c r="D322" s="3"/>
      <c r="E322" s="4"/>
      <c r="F322" s="5" t="str">
        <f t="shared" si="4"/>
        <v/>
      </c>
      <c r="G322" s="4"/>
    </row>
    <row r="323" spans="1:7" x14ac:dyDescent="0.3">
      <c r="A323" s="15"/>
      <c r="B323" s="3"/>
      <c r="C323" s="3"/>
      <c r="D323" s="3"/>
      <c r="E323" s="4"/>
      <c r="F323" s="5" t="str">
        <f t="shared" si="4"/>
        <v/>
      </c>
      <c r="G323" s="4"/>
    </row>
    <row r="324" spans="1:7" x14ac:dyDescent="0.3">
      <c r="A324" s="15"/>
      <c r="B324" s="3"/>
      <c r="C324" s="3"/>
      <c r="D324" s="3"/>
      <c r="E324" s="4"/>
      <c r="F324" s="5" t="str">
        <f t="shared" ref="F324:F387" si="5">IF(OR(D324="", E324=""), "", D324*E324)</f>
        <v/>
      </c>
      <c r="G324" s="4"/>
    </row>
    <row r="325" spans="1:7" x14ac:dyDescent="0.3">
      <c r="A325" s="15"/>
      <c r="B325" s="3"/>
      <c r="C325" s="3"/>
      <c r="D325" s="3"/>
      <c r="E325" s="4"/>
      <c r="F325" s="5" t="str">
        <f t="shared" si="5"/>
        <v/>
      </c>
      <c r="G325" s="4"/>
    </row>
    <row r="326" spans="1:7" x14ac:dyDescent="0.3">
      <c r="A326" s="15"/>
      <c r="B326" s="3"/>
      <c r="C326" s="3"/>
      <c r="D326" s="3"/>
      <c r="E326" s="4"/>
      <c r="F326" s="5" t="str">
        <f t="shared" si="5"/>
        <v/>
      </c>
      <c r="G326" s="4"/>
    </row>
    <row r="327" spans="1:7" x14ac:dyDescent="0.3">
      <c r="A327" s="15"/>
      <c r="B327" s="3"/>
      <c r="C327" s="3"/>
      <c r="D327" s="3"/>
      <c r="E327" s="4"/>
      <c r="F327" s="5" t="str">
        <f t="shared" si="5"/>
        <v/>
      </c>
      <c r="G327" s="4"/>
    </row>
    <row r="328" spans="1:7" x14ac:dyDescent="0.3">
      <c r="A328" s="15"/>
      <c r="B328" s="3"/>
      <c r="C328" s="3"/>
      <c r="D328" s="3"/>
      <c r="E328" s="4"/>
      <c r="F328" s="5" t="str">
        <f t="shared" si="5"/>
        <v/>
      </c>
      <c r="G328" s="4"/>
    </row>
    <row r="329" spans="1:7" x14ac:dyDescent="0.3">
      <c r="A329" s="15"/>
      <c r="B329" s="3"/>
      <c r="C329" s="3"/>
      <c r="D329" s="3"/>
      <c r="E329" s="4"/>
      <c r="F329" s="5" t="str">
        <f t="shared" si="5"/>
        <v/>
      </c>
      <c r="G329" s="4"/>
    </row>
    <row r="330" spans="1:7" x14ac:dyDescent="0.3">
      <c r="A330" s="15"/>
      <c r="B330" s="3"/>
      <c r="C330" s="3"/>
      <c r="D330" s="3"/>
      <c r="E330" s="4"/>
      <c r="F330" s="5" t="str">
        <f t="shared" si="5"/>
        <v/>
      </c>
      <c r="G330" s="4"/>
    </row>
    <row r="331" spans="1:7" x14ac:dyDescent="0.3">
      <c r="A331" s="15"/>
      <c r="B331" s="3"/>
      <c r="C331" s="3"/>
      <c r="D331" s="3"/>
      <c r="E331" s="4"/>
      <c r="F331" s="5" t="str">
        <f t="shared" si="5"/>
        <v/>
      </c>
      <c r="G331" s="4"/>
    </row>
    <row r="332" spans="1:7" x14ac:dyDescent="0.3">
      <c r="A332" s="15"/>
      <c r="B332" s="3"/>
      <c r="C332" s="3"/>
      <c r="D332" s="3"/>
      <c r="E332" s="4"/>
      <c r="F332" s="5" t="str">
        <f t="shared" si="5"/>
        <v/>
      </c>
      <c r="G332" s="4"/>
    </row>
    <row r="333" spans="1:7" x14ac:dyDescent="0.3">
      <c r="A333" s="15"/>
      <c r="B333" s="3"/>
      <c r="C333" s="3"/>
      <c r="D333" s="3"/>
      <c r="E333" s="4"/>
      <c r="F333" s="5" t="str">
        <f t="shared" si="5"/>
        <v/>
      </c>
      <c r="G333" s="4"/>
    </row>
    <row r="334" spans="1:7" x14ac:dyDescent="0.3">
      <c r="A334" s="15"/>
      <c r="B334" s="3"/>
      <c r="C334" s="3"/>
      <c r="D334" s="3"/>
      <c r="E334" s="4"/>
      <c r="F334" s="5" t="str">
        <f t="shared" si="5"/>
        <v/>
      </c>
      <c r="G334" s="4"/>
    </row>
    <row r="335" spans="1:7" x14ac:dyDescent="0.3">
      <c r="A335" s="15"/>
      <c r="B335" s="3"/>
      <c r="C335" s="3"/>
      <c r="D335" s="3"/>
      <c r="E335" s="4"/>
      <c r="F335" s="5" t="str">
        <f t="shared" si="5"/>
        <v/>
      </c>
      <c r="G335" s="4"/>
    </row>
    <row r="336" spans="1:7" x14ac:dyDescent="0.3">
      <c r="A336" s="15"/>
      <c r="B336" s="3"/>
      <c r="C336" s="3"/>
      <c r="D336" s="3"/>
      <c r="E336" s="4"/>
      <c r="F336" s="5" t="str">
        <f t="shared" si="5"/>
        <v/>
      </c>
      <c r="G336" s="4"/>
    </row>
    <row r="337" spans="1:7" x14ac:dyDescent="0.3">
      <c r="A337" s="15"/>
      <c r="B337" s="3"/>
      <c r="C337" s="3"/>
      <c r="D337" s="3"/>
      <c r="E337" s="4"/>
      <c r="F337" s="5" t="str">
        <f t="shared" si="5"/>
        <v/>
      </c>
      <c r="G337" s="4"/>
    </row>
    <row r="338" spans="1:7" x14ac:dyDescent="0.3">
      <c r="A338" s="15"/>
      <c r="B338" s="3"/>
      <c r="C338" s="3"/>
      <c r="D338" s="3"/>
      <c r="E338" s="4"/>
      <c r="F338" s="5" t="str">
        <f t="shared" si="5"/>
        <v/>
      </c>
      <c r="G338" s="4"/>
    </row>
    <row r="339" spans="1:7" x14ac:dyDescent="0.3">
      <c r="A339" s="15"/>
      <c r="B339" s="3"/>
      <c r="C339" s="3"/>
      <c r="D339" s="3"/>
      <c r="E339" s="4"/>
      <c r="F339" s="5" t="str">
        <f t="shared" si="5"/>
        <v/>
      </c>
      <c r="G339" s="4"/>
    </row>
    <row r="340" spans="1:7" x14ac:dyDescent="0.3">
      <c r="A340" s="15"/>
      <c r="B340" s="3"/>
      <c r="C340" s="3"/>
      <c r="D340" s="3"/>
      <c r="E340" s="4"/>
      <c r="F340" s="5" t="str">
        <f t="shared" si="5"/>
        <v/>
      </c>
      <c r="G340" s="4"/>
    </row>
    <row r="341" spans="1:7" x14ac:dyDescent="0.3">
      <c r="A341" s="15"/>
      <c r="B341" s="3"/>
      <c r="C341" s="3"/>
      <c r="D341" s="3"/>
      <c r="E341" s="4"/>
      <c r="F341" s="5" t="str">
        <f t="shared" si="5"/>
        <v/>
      </c>
      <c r="G341" s="4"/>
    </row>
    <row r="342" spans="1:7" x14ac:dyDescent="0.3">
      <c r="A342" s="15"/>
      <c r="B342" s="3"/>
      <c r="C342" s="3"/>
      <c r="D342" s="3"/>
      <c r="E342" s="4"/>
      <c r="F342" s="5" t="str">
        <f t="shared" si="5"/>
        <v/>
      </c>
      <c r="G342" s="4"/>
    </row>
    <row r="343" spans="1:7" x14ac:dyDescent="0.3">
      <c r="A343" s="15"/>
      <c r="B343" s="3"/>
      <c r="C343" s="3"/>
      <c r="D343" s="3"/>
      <c r="E343" s="4"/>
      <c r="F343" s="5" t="str">
        <f t="shared" si="5"/>
        <v/>
      </c>
      <c r="G343" s="4"/>
    </row>
    <row r="344" spans="1:7" x14ac:dyDescent="0.3">
      <c r="A344" s="15"/>
      <c r="B344" s="3"/>
      <c r="C344" s="3"/>
      <c r="D344" s="3"/>
      <c r="E344" s="4"/>
      <c r="F344" s="5" t="str">
        <f t="shared" si="5"/>
        <v/>
      </c>
      <c r="G344" s="4"/>
    </row>
    <row r="345" spans="1:7" x14ac:dyDescent="0.3">
      <c r="A345" s="15"/>
      <c r="B345" s="3"/>
      <c r="C345" s="3"/>
      <c r="D345" s="3"/>
      <c r="E345" s="4"/>
      <c r="F345" s="5" t="str">
        <f t="shared" si="5"/>
        <v/>
      </c>
      <c r="G345" s="4"/>
    </row>
    <row r="346" spans="1:7" x14ac:dyDescent="0.3">
      <c r="A346" s="15"/>
      <c r="B346" s="3"/>
      <c r="C346" s="3"/>
      <c r="D346" s="3"/>
      <c r="E346" s="4"/>
      <c r="F346" s="5" t="str">
        <f t="shared" si="5"/>
        <v/>
      </c>
      <c r="G346" s="4"/>
    </row>
    <row r="347" spans="1:7" x14ac:dyDescent="0.3">
      <c r="A347" s="15"/>
      <c r="B347" s="3"/>
      <c r="C347" s="3"/>
      <c r="D347" s="3"/>
      <c r="E347" s="4"/>
      <c r="F347" s="5" t="str">
        <f t="shared" si="5"/>
        <v/>
      </c>
      <c r="G347" s="4"/>
    </row>
    <row r="348" spans="1:7" x14ac:dyDescent="0.3">
      <c r="A348" s="15"/>
      <c r="B348" s="3"/>
      <c r="C348" s="3"/>
      <c r="D348" s="3"/>
      <c r="E348" s="4"/>
      <c r="F348" s="5" t="str">
        <f t="shared" si="5"/>
        <v/>
      </c>
      <c r="G348" s="4"/>
    </row>
    <row r="349" spans="1:7" x14ac:dyDescent="0.3">
      <c r="A349" s="15"/>
      <c r="B349" s="3"/>
      <c r="C349" s="3"/>
      <c r="D349" s="3"/>
      <c r="E349" s="4"/>
      <c r="F349" s="5" t="str">
        <f t="shared" si="5"/>
        <v/>
      </c>
      <c r="G349" s="4"/>
    </row>
    <row r="350" spans="1:7" x14ac:dyDescent="0.3">
      <c r="A350" s="15"/>
      <c r="B350" s="3"/>
      <c r="C350" s="3"/>
      <c r="D350" s="3"/>
      <c r="E350" s="4"/>
      <c r="F350" s="5" t="str">
        <f t="shared" si="5"/>
        <v/>
      </c>
      <c r="G350" s="4"/>
    </row>
    <row r="351" spans="1:7" x14ac:dyDescent="0.3">
      <c r="A351" s="15"/>
      <c r="B351" s="3"/>
      <c r="C351" s="3"/>
      <c r="D351" s="3"/>
      <c r="E351" s="4"/>
      <c r="F351" s="5" t="str">
        <f t="shared" si="5"/>
        <v/>
      </c>
      <c r="G351" s="4"/>
    </row>
    <row r="352" spans="1:7" x14ac:dyDescent="0.3">
      <c r="A352" s="15"/>
      <c r="B352" s="3"/>
      <c r="C352" s="3"/>
      <c r="D352" s="3"/>
      <c r="E352" s="4"/>
      <c r="F352" s="5" t="str">
        <f t="shared" si="5"/>
        <v/>
      </c>
      <c r="G352" s="4"/>
    </row>
    <row r="353" spans="1:7" x14ac:dyDescent="0.3">
      <c r="A353" s="15"/>
      <c r="B353" s="3"/>
      <c r="C353" s="3"/>
      <c r="D353" s="3"/>
      <c r="E353" s="4"/>
      <c r="F353" s="5" t="str">
        <f t="shared" si="5"/>
        <v/>
      </c>
      <c r="G353" s="4"/>
    </row>
    <row r="354" spans="1:7" x14ac:dyDescent="0.3">
      <c r="A354" s="15"/>
      <c r="B354" s="3"/>
      <c r="C354" s="3"/>
      <c r="D354" s="3"/>
      <c r="E354" s="4"/>
      <c r="F354" s="5" t="str">
        <f t="shared" si="5"/>
        <v/>
      </c>
      <c r="G354" s="4"/>
    </row>
    <row r="355" spans="1:7" x14ac:dyDescent="0.3">
      <c r="A355" s="15"/>
      <c r="B355" s="3"/>
      <c r="C355" s="3"/>
      <c r="D355" s="3"/>
      <c r="E355" s="4"/>
      <c r="F355" s="5" t="str">
        <f t="shared" si="5"/>
        <v/>
      </c>
      <c r="G355" s="4"/>
    </row>
    <row r="356" spans="1:7" x14ac:dyDescent="0.3">
      <c r="A356" s="15"/>
      <c r="B356" s="3"/>
      <c r="C356" s="3"/>
      <c r="D356" s="3"/>
      <c r="E356" s="4"/>
      <c r="F356" s="5" t="str">
        <f t="shared" si="5"/>
        <v/>
      </c>
      <c r="G356" s="4"/>
    </row>
    <row r="357" spans="1:7" x14ac:dyDescent="0.3">
      <c r="A357" s="15"/>
      <c r="B357" s="3"/>
      <c r="C357" s="3"/>
      <c r="D357" s="3"/>
      <c r="E357" s="4"/>
      <c r="F357" s="5" t="str">
        <f t="shared" si="5"/>
        <v/>
      </c>
      <c r="G357" s="4"/>
    </row>
    <row r="358" spans="1:7" x14ac:dyDescent="0.3">
      <c r="A358" s="15"/>
      <c r="B358" s="3"/>
      <c r="C358" s="3"/>
      <c r="D358" s="3"/>
      <c r="E358" s="4"/>
      <c r="F358" s="5" t="str">
        <f t="shared" si="5"/>
        <v/>
      </c>
      <c r="G358" s="4"/>
    </row>
    <row r="359" spans="1:7" x14ac:dyDescent="0.3">
      <c r="A359" s="15"/>
      <c r="B359" s="3"/>
      <c r="C359" s="3"/>
      <c r="D359" s="3"/>
      <c r="E359" s="4"/>
      <c r="F359" s="5" t="str">
        <f t="shared" si="5"/>
        <v/>
      </c>
      <c r="G359" s="4"/>
    </row>
    <row r="360" spans="1:7" x14ac:dyDescent="0.3">
      <c r="A360" s="15"/>
      <c r="B360" s="3"/>
      <c r="C360" s="3"/>
      <c r="D360" s="3"/>
      <c r="E360" s="4"/>
      <c r="F360" s="5" t="str">
        <f t="shared" si="5"/>
        <v/>
      </c>
      <c r="G360" s="4"/>
    </row>
    <row r="361" spans="1:7" x14ac:dyDescent="0.3">
      <c r="A361" s="15"/>
      <c r="B361" s="3"/>
      <c r="C361" s="3"/>
      <c r="D361" s="3"/>
      <c r="E361" s="4"/>
      <c r="F361" s="5" t="str">
        <f t="shared" si="5"/>
        <v/>
      </c>
      <c r="G361" s="4"/>
    </row>
    <row r="362" spans="1:7" x14ac:dyDescent="0.3">
      <c r="A362" s="15"/>
      <c r="B362" s="3"/>
      <c r="C362" s="3"/>
      <c r="D362" s="3"/>
      <c r="E362" s="4"/>
      <c r="F362" s="5" t="str">
        <f t="shared" si="5"/>
        <v/>
      </c>
      <c r="G362" s="4"/>
    </row>
    <row r="363" spans="1:7" x14ac:dyDescent="0.3">
      <c r="A363" s="15"/>
      <c r="B363" s="3"/>
      <c r="C363" s="3"/>
      <c r="D363" s="3"/>
      <c r="E363" s="4"/>
      <c r="F363" s="5" t="str">
        <f t="shared" si="5"/>
        <v/>
      </c>
      <c r="G363" s="4"/>
    </row>
    <row r="364" spans="1:7" x14ac:dyDescent="0.3">
      <c r="A364" s="15"/>
      <c r="B364" s="3"/>
      <c r="C364" s="3"/>
      <c r="D364" s="3"/>
      <c r="E364" s="4"/>
      <c r="F364" s="5" t="str">
        <f t="shared" si="5"/>
        <v/>
      </c>
      <c r="G364" s="4"/>
    </row>
    <row r="365" spans="1:7" x14ac:dyDescent="0.3">
      <c r="A365" s="15"/>
      <c r="B365" s="3"/>
      <c r="C365" s="3"/>
      <c r="D365" s="3"/>
      <c r="E365" s="4"/>
      <c r="F365" s="5" t="str">
        <f t="shared" si="5"/>
        <v/>
      </c>
      <c r="G365" s="4"/>
    </row>
    <row r="366" spans="1:7" x14ac:dyDescent="0.3">
      <c r="A366" s="15"/>
      <c r="B366" s="3"/>
      <c r="C366" s="3"/>
      <c r="D366" s="3"/>
      <c r="E366" s="4"/>
      <c r="F366" s="5" t="str">
        <f t="shared" si="5"/>
        <v/>
      </c>
      <c r="G366" s="4"/>
    </row>
    <row r="367" spans="1:7" x14ac:dyDescent="0.3">
      <c r="A367" s="15"/>
      <c r="B367" s="3"/>
      <c r="C367" s="3"/>
      <c r="D367" s="3"/>
      <c r="E367" s="4"/>
      <c r="F367" s="5" t="str">
        <f t="shared" si="5"/>
        <v/>
      </c>
      <c r="G367" s="4"/>
    </row>
    <row r="368" spans="1:7" x14ac:dyDescent="0.3">
      <c r="A368" s="15"/>
      <c r="B368" s="3"/>
      <c r="C368" s="3"/>
      <c r="D368" s="3"/>
      <c r="E368" s="4"/>
      <c r="F368" s="5" t="str">
        <f t="shared" si="5"/>
        <v/>
      </c>
      <c r="G368" s="4"/>
    </row>
    <row r="369" spans="1:7" x14ac:dyDescent="0.3">
      <c r="A369" s="15"/>
      <c r="B369" s="3"/>
      <c r="C369" s="3"/>
      <c r="D369" s="3"/>
      <c r="E369" s="4"/>
      <c r="F369" s="5" t="str">
        <f t="shared" si="5"/>
        <v/>
      </c>
      <c r="G369" s="4"/>
    </row>
    <row r="370" spans="1:7" x14ac:dyDescent="0.3">
      <c r="A370" s="15"/>
      <c r="B370" s="3"/>
      <c r="C370" s="3"/>
      <c r="D370" s="3"/>
      <c r="E370" s="4"/>
      <c r="F370" s="5" t="str">
        <f t="shared" si="5"/>
        <v/>
      </c>
      <c r="G370" s="4"/>
    </row>
    <row r="371" spans="1:7" x14ac:dyDescent="0.3">
      <c r="A371" s="15"/>
      <c r="B371" s="3"/>
      <c r="C371" s="3"/>
      <c r="D371" s="3"/>
      <c r="E371" s="4"/>
      <c r="F371" s="5" t="str">
        <f t="shared" si="5"/>
        <v/>
      </c>
      <c r="G371" s="4"/>
    </row>
    <row r="372" spans="1:7" x14ac:dyDescent="0.3">
      <c r="A372" s="15"/>
      <c r="B372" s="3"/>
      <c r="C372" s="3"/>
      <c r="D372" s="3"/>
      <c r="E372" s="4"/>
      <c r="F372" s="5" t="str">
        <f t="shared" si="5"/>
        <v/>
      </c>
      <c r="G372" s="4"/>
    </row>
    <row r="373" spans="1:7" x14ac:dyDescent="0.3">
      <c r="A373" s="15"/>
      <c r="B373" s="3"/>
      <c r="C373" s="3"/>
      <c r="D373" s="3"/>
      <c r="E373" s="4"/>
      <c r="F373" s="5" t="str">
        <f t="shared" si="5"/>
        <v/>
      </c>
      <c r="G373" s="4"/>
    </row>
    <row r="374" spans="1:7" x14ac:dyDescent="0.3">
      <c r="A374" s="15"/>
      <c r="B374" s="3"/>
      <c r="C374" s="3"/>
      <c r="D374" s="3"/>
      <c r="E374" s="4"/>
      <c r="F374" s="5" t="str">
        <f t="shared" si="5"/>
        <v/>
      </c>
      <c r="G374" s="4"/>
    </row>
    <row r="375" spans="1:7" x14ac:dyDescent="0.3">
      <c r="A375" s="15"/>
      <c r="B375" s="3"/>
      <c r="C375" s="3"/>
      <c r="D375" s="3"/>
      <c r="E375" s="4"/>
      <c r="F375" s="5" t="str">
        <f t="shared" si="5"/>
        <v/>
      </c>
      <c r="G375" s="4"/>
    </row>
    <row r="376" spans="1:7" x14ac:dyDescent="0.3">
      <c r="A376" s="15"/>
      <c r="B376" s="3"/>
      <c r="C376" s="3"/>
      <c r="D376" s="3"/>
      <c r="E376" s="4"/>
      <c r="F376" s="5" t="str">
        <f t="shared" si="5"/>
        <v/>
      </c>
      <c r="G376" s="4"/>
    </row>
    <row r="377" spans="1:7" x14ac:dyDescent="0.3">
      <c r="A377" s="15"/>
      <c r="B377" s="3"/>
      <c r="C377" s="3"/>
      <c r="D377" s="3"/>
      <c r="E377" s="4"/>
      <c r="F377" s="5" t="str">
        <f t="shared" si="5"/>
        <v/>
      </c>
      <c r="G377" s="4"/>
    </row>
    <row r="378" spans="1:7" x14ac:dyDescent="0.3">
      <c r="A378" s="15"/>
      <c r="B378" s="3"/>
      <c r="C378" s="3"/>
      <c r="D378" s="3"/>
      <c r="E378" s="4"/>
      <c r="F378" s="5" t="str">
        <f t="shared" si="5"/>
        <v/>
      </c>
      <c r="G378" s="4"/>
    </row>
    <row r="379" spans="1:7" x14ac:dyDescent="0.3">
      <c r="A379" s="15"/>
      <c r="B379" s="3"/>
      <c r="C379" s="3"/>
      <c r="D379" s="3"/>
      <c r="E379" s="4"/>
      <c r="F379" s="5" t="str">
        <f t="shared" si="5"/>
        <v/>
      </c>
      <c r="G379" s="4"/>
    </row>
    <row r="380" spans="1:7" x14ac:dyDescent="0.3">
      <c r="A380" s="15"/>
      <c r="B380" s="3"/>
      <c r="C380" s="3"/>
      <c r="D380" s="3"/>
      <c r="E380" s="4"/>
      <c r="F380" s="5" t="str">
        <f t="shared" si="5"/>
        <v/>
      </c>
      <c r="G380" s="4"/>
    </row>
    <row r="381" spans="1:7" x14ac:dyDescent="0.3">
      <c r="A381" s="15"/>
      <c r="B381" s="3"/>
      <c r="C381" s="3"/>
      <c r="D381" s="3"/>
      <c r="E381" s="4"/>
      <c r="F381" s="5" t="str">
        <f t="shared" si="5"/>
        <v/>
      </c>
      <c r="G381" s="4"/>
    </row>
    <row r="382" spans="1:7" x14ac:dyDescent="0.3">
      <c r="A382" s="15"/>
      <c r="B382" s="3"/>
      <c r="C382" s="3"/>
      <c r="D382" s="3"/>
      <c r="E382" s="4"/>
      <c r="F382" s="5" t="str">
        <f t="shared" si="5"/>
        <v/>
      </c>
      <c r="G382" s="4"/>
    </row>
    <row r="383" spans="1:7" x14ac:dyDescent="0.3">
      <c r="A383" s="15"/>
      <c r="B383" s="3"/>
      <c r="C383" s="3"/>
      <c r="D383" s="3"/>
      <c r="E383" s="4"/>
      <c r="F383" s="5" t="str">
        <f t="shared" si="5"/>
        <v/>
      </c>
      <c r="G383" s="4"/>
    </row>
    <row r="384" spans="1:7" x14ac:dyDescent="0.3">
      <c r="A384" s="15"/>
      <c r="B384" s="3"/>
      <c r="C384" s="3"/>
      <c r="D384" s="3"/>
      <c r="E384" s="4"/>
      <c r="F384" s="5" t="str">
        <f t="shared" si="5"/>
        <v/>
      </c>
      <c r="G384" s="4"/>
    </row>
    <row r="385" spans="1:7" x14ac:dyDescent="0.3">
      <c r="A385" s="15"/>
      <c r="B385" s="3"/>
      <c r="C385" s="3"/>
      <c r="D385" s="3"/>
      <c r="E385" s="4"/>
      <c r="F385" s="5" t="str">
        <f t="shared" si="5"/>
        <v/>
      </c>
      <c r="G385" s="4"/>
    </row>
    <row r="386" spans="1:7" x14ac:dyDescent="0.3">
      <c r="A386" s="15"/>
      <c r="B386" s="3"/>
      <c r="C386" s="3"/>
      <c r="D386" s="3"/>
      <c r="E386" s="4"/>
      <c r="F386" s="5" t="str">
        <f t="shared" si="5"/>
        <v/>
      </c>
      <c r="G386" s="4"/>
    </row>
    <row r="387" spans="1:7" x14ac:dyDescent="0.3">
      <c r="A387" s="15"/>
      <c r="B387" s="3"/>
      <c r="C387" s="3"/>
      <c r="D387" s="3"/>
      <c r="E387" s="4"/>
      <c r="F387" s="5" t="str">
        <f t="shared" si="5"/>
        <v/>
      </c>
      <c r="G387" s="4"/>
    </row>
    <row r="388" spans="1:7" x14ac:dyDescent="0.3">
      <c r="A388" s="15"/>
      <c r="B388" s="3"/>
      <c r="C388" s="3"/>
      <c r="D388" s="3"/>
      <c r="E388" s="4"/>
      <c r="F388" s="5" t="str">
        <f t="shared" ref="F388:F450" si="6">IF(OR(D388="", E388=""), "", D388*E388)</f>
        <v/>
      </c>
      <c r="G388" s="4"/>
    </row>
    <row r="389" spans="1:7" x14ac:dyDescent="0.3">
      <c r="A389" s="15"/>
      <c r="B389" s="3"/>
      <c r="C389" s="3"/>
      <c r="D389" s="3"/>
      <c r="E389" s="4"/>
      <c r="F389" s="5" t="str">
        <f t="shared" si="6"/>
        <v/>
      </c>
      <c r="G389" s="4"/>
    </row>
    <row r="390" spans="1:7" x14ac:dyDescent="0.3">
      <c r="A390" s="15"/>
      <c r="B390" s="3"/>
      <c r="C390" s="3"/>
      <c r="D390" s="3"/>
      <c r="E390" s="4"/>
      <c r="F390" s="5" t="str">
        <f t="shared" si="6"/>
        <v/>
      </c>
      <c r="G390" s="4"/>
    </row>
    <row r="391" spans="1:7" x14ac:dyDescent="0.3">
      <c r="A391" s="15"/>
      <c r="B391" s="3"/>
      <c r="C391" s="3"/>
      <c r="D391" s="3"/>
      <c r="E391" s="4"/>
      <c r="F391" s="5" t="str">
        <f t="shared" si="6"/>
        <v/>
      </c>
      <c r="G391" s="4"/>
    </row>
    <row r="392" spans="1:7" x14ac:dyDescent="0.3">
      <c r="A392" s="15"/>
      <c r="B392" s="3"/>
      <c r="C392" s="3"/>
      <c r="D392" s="3"/>
      <c r="E392" s="4"/>
      <c r="F392" s="5" t="str">
        <f t="shared" si="6"/>
        <v/>
      </c>
      <c r="G392" s="4"/>
    </row>
    <row r="393" spans="1:7" x14ac:dyDescent="0.3">
      <c r="A393" s="15"/>
      <c r="B393" s="3"/>
      <c r="C393" s="3"/>
      <c r="D393" s="3"/>
      <c r="E393" s="4"/>
      <c r="F393" s="5" t="str">
        <f t="shared" si="6"/>
        <v/>
      </c>
      <c r="G393" s="4"/>
    </row>
    <row r="394" spans="1:7" x14ac:dyDescent="0.3">
      <c r="A394" s="15"/>
      <c r="B394" s="3"/>
      <c r="C394" s="3"/>
      <c r="D394" s="3"/>
      <c r="E394" s="4"/>
      <c r="F394" s="5" t="str">
        <f t="shared" si="6"/>
        <v/>
      </c>
      <c r="G394" s="4"/>
    </row>
    <row r="395" spans="1:7" x14ac:dyDescent="0.3">
      <c r="A395" s="15"/>
      <c r="B395" s="3"/>
      <c r="C395" s="3"/>
      <c r="D395" s="3"/>
      <c r="E395" s="4"/>
      <c r="F395" s="5" t="str">
        <f t="shared" si="6"/>
        <v/>
      </c>
      <c r="G395" s="4"/>
    </row>
    <row r="396" spans="1:7" x14ac:dyDescent="0.3">
      <c r="A396" s="15"/>
      <c r="B396" s="3"/>
      <c r="C396" s="3"/>
      <c r="D396" s="3"/>
      <c r="E396" s="4"/>
      <c r="F396" s="5" t="str">
        <f t="shared" si="6"/>
        <v/>
      </c>
      <c r="G396" s="4"/>
    </row>
    <row r="397" spans="1:7" x14ac:dyDescent="0.3">
      <c r="A397" s="15"/>
      <c r="B397" s="3"/>
      <c r="C397" s="3"/>
      <c r="D397" s="3"/>
      <c r="E397" s="4"/>
      <c r="F397" s="5" t="str">
        <f t="shared" si="6"/>
        <v/>
      </c>
      <c r="G397" s="4"/>
    </row>
    <row r="398" spans="1:7" x14ac:dyDescent="0.3">
      <c r="A398" s="15"/>
      <c r="B398" s="3"/>
      <c r="C398" s="3"/>
      <c r="D398" s="3"/>
      <c r="E398" s="4"/>
      <c r="F398" s="5" t="str">
        <f t="shared" si="6"/>
        <v/>
      </c>
      <c r="G398" s="4"/>
    </row>
    <row r="399" spans="1:7" x14ac:dyDescent="0.3">
      <c r="A399" s="15"/>
      <c r="B399" s="3"/>
      <c r="C399" s="3"/>
      <c r="D399" s="3"/>
      <c r="E399" s="4"/>
      <c r="F399" s="5" t="str">
        <f t="shared" si="6"/>
        <v/>
      </c>
      <c r="G399" s="4"/>
    </row>
    <row r="400" spans="1:7" x14ac:dyDescent="0.3">
      <c r="A400" s="15"/>
      <c r="B400" s="3"/>
      <c r="C400" s="3"/>
      <c r="D400" s="3"/>
      <c r="E400" s="4"/>
      <c r="F400" s="5" t="str">
        <f t="shared" si="6"/>
        <v/>
      </c>
      <c r="G400" s="4"/>
    </row>
    <row r="401" spans="1:7" x14ac:dyDescent="0.3">
      <c r="A401" s="15"/>
      <c r="B401" s="3"/>
      <c r="C401" s="3"/>
      <c r="D401" s="3"/>
      <c r="E401" s="4"/>
      <c r="F401" s="5" t="str">
        <f t="shared" si="6"/>
        <v/>
      </c>
      <c r="G401" s="4"/>
    </row>
    <row r="402" spans="1:7" x14ac:dyDescent="0.3">
      <c r="A402" s="15"/>
      <c r="B402" s="3"/>
      <c r="C402" s="3"/>
      <c r="D402" s="3"/>
      <c r="E402" s="4"/>
      <c r="F402" s="5" t="str">
        <f t="shared" si="6"/>
        <v/>
      </c>
      <c r="G402" s="4"/>
    </row>
    <row r="403" spans="1:7" x14ac:dyDescent="0.3">
      <c r="A403" s="15"/>
      <c r="B403" s="3"/>
      <c r="C403" s="3"/>
      <c r="D403" s="3"/>
      <c r="E403" s="4"/>
      <c r="F403" s="5" t="str">
        <f t="shared" si="6"/>
        <v/>
      </c>
      <c r="G403" s="4"/>
    </row>
    <row r="404" spans="1:7" x14ac:dyDescent="0.3">
      <c r="A404" s="15"/>
      <c r="B404" s="3"/>
      <c r="C404" s="3"/>
      <c r="D404" s="3"/>
      <c r="E404" s="4"/>
      <c r="F404" s="5" t="str">
        <f t="shared" si="6"/>
        <v/>
      </c>
      <c r="G404" s="4"/>
    </row>
    <row r="405" spans="1:7" x14ac:dyDescent="0.3">
      <c r="A405" s="15"/>
      <c r="B405" s="3"/>
      <c r="C405" s="3"/>
      <c r="D405" s="3"/>
      <c r="E405" s="4"/>
      <c r="F405" s="5" t="str">
        <f t="shared" si="6"/>
        <v/>
      </c>
      <c r="G405" s="4"/>
    </row>
    <row r="406" spans="1:7" x14ac:dyDescent="0.3">
      <c r="A406" s="15"/>
      <c r="B406" s="3"/>
      <c r="C406" s="3"/>
      <c r="D406" s="3"/>
      <c r="E406" s="4"/>
      <c r="F406" s="5" t="str">
        <f t="shared" si="6"/>
        <v/>
      </c>
      <c r="G406" s="4"/>
    </row>
    <row r="407" spans="1:7" x14ac:dyDescent="0.3">
      <c r="A407" s="15"/>
      <c r="B407" s="3"/>
      <c r="C407" s="3"/>
      <c r="D407" s="3"/>
      <c r="E407" s="4"/>
      <c r="F407" s="5" t="str">
        <f t="shared" si="6"/>
        <v/>
      </c>
      <c r="G407" s="4"/>
    </row>
    <row r="408" spans="1:7" x14ac:dyDescent="0.3">
      <c r="A408" s="15"/>
      <c r="B408" s="3"/>
      <c r="C408" s="3"/>
      <c r="D408" s="3"/>
      <c r="E408" s="4"/>
      <c r="F408" s="5" t="str">
        <f t="shared" si="6"/>
        <v/>
      </c>
      <c r="G408" s="4"/>
    </row>
    <row r="409" spans="1:7" x14ac:dyDescent="0.3">
      <c r="A409" s="15"/>
      <c r="B409" s="3"/>
      <c r="C409" s="3"/>
      <c r="D409" s="3"/>
      <c r="E409" s="4"/>
      <c r="F409" s="5" t="str">
        <f t="shared" si="6"/>
        <v/>
      </c>
      <c r="G409" s="4"/>
    </row>
    <row r="410" spans="1:7" x14ac:dyDescent="0.3">
      <c r="A410" s="15"/>
      <c r="B410" s="3"/>
      <c r="C410" s="3"/>
      <c r="D410" s="3"/>
      <c r="E410" s="4"/>
      <c r="F410" s="5" t="str">
        <f t="shared" si="6"/>
        <v/>
      </c>
      <c r="G410" s="4"/>
    </row>
    <row r="411" spans="1:7" x14ac:dyDescent="0.3">
      <c r="A411" s="15"/>
      <c r="B411" s="3"/>
      <c r="C411" s="3"/>
      <c r="D411" s="3"/>
      <c r="E411" s="4"/>
      <c r="F411" s="5" t="str">
        <f t="shared" si="6"/>
        <v/>
      </c>
      <c r="G411" s="4"/>
    </row>
    <row r="412" spans="1:7" x14ac:dyDescent="0.3">
      <c r="A412" s="15"/>
      <c r="B412" s="3"/>
      <c r="C412" s="3"/>
      <c r="D412" s="3"/>
      <c r="E412" s="4"/>
      <c r="F412" s="5" t="str">
        <f t="shared" si="6"/>
        <v/>
      </c>
      <c r="G412" s="4"/>
    </row>
    <row r="413" spans="1:7" x14ac:dyDescent="0.3">
      <c r="A413" s="15"/>
      <c r="B413" s="3"/>
      <c r="C413" s="3"/>
      <c r="D413" s="3"/>
      <c r="E413" s="4"/>
      <c r="F413" s="5" t="str">
        <f t="shared" si="6"/>
        <v/>
      </c>
      <c r="G413" s="4"/>
    </row>
    <row r="414" spans="1:7" x14ac:dyDescent="0.3">
      <c r="A414" s="15"/>
      <c r="B414" s="3"/>
      <c r="C414" s="3"/>
      <c r="D414" s="3"/>
      <c r="E414" s="4"/>
      <c r="F414" s="5" t="str">
        <f t="shared" si="6"/>
        <v/>
      </c>
      <c r="G414" s="4"/>
    </row>
    <row r="415" spans="1:7" x14ac:dyDescent="0.3">
      <c r="A415" s="15"/>
      <c r="B415" s="3"/>
      <c r="C415" s="3"/>
      <c r="D415" s="3"/>
      <c r="E415" s="4"/>
      <c r="F415" s="5" t="str">
        <f t="shared" si="6"/>
        <v/>
      </c>
      <c r="G415" s="4"/>
    </row>
    <row r="416" spans="1:7" x14ac:dyDescent="0.3">
      <c r="A416" s="15"/>
      <c r="B416" s="3"/>
      <c r="C416" s="3"/>
      <c r="D416" s="3"/>
      <c r="E416" s="4"/>
      <c r="F416" s="5" t="str">
        <f t="shared" si="6"/>
        <v/>
      </c>
      <c r="G416" s="4"/>
    </row>
    <row r="417" spans="1:7" x14ac:dyDescent="0.3">
      <c r="A417" s="15"/>
      <c r="B417" s="3"/>
      <c r="C417" s="3"/>
      <c r="D417" s="3"/>
      <c r="E417" s="4"/>
      <c r="F417" s="5" t="str">
        <f t="shared" si="6"/>
        <v/>
      </c>
      <c r="G417" s="4"/>
    </row>
    <row r="418" spans="1:7" x14ac:dyDescent="0.3">
      <c r="A418" s="15"/>
      <c r="B418" s="3"/>
      <c r="C418" s="3"/>
      <c r="D418" s="3"/>
      <c r="E418" s="4"/>
      <c r="F418" s="5" t="str">
        <f t="shared" si="6"/>
        <v/>
      </c>
      <c r="G418" s="4"/>
    </row>
    <row r="419" spans="1:7" x14ac:dyDescent="0.3">
      <c r="A419" s="15"/>
      <c r="B419" s="3"/>
      <c r="C419" s="3"/>
      <c r="D419" s="3"/>
      <c r="E419" s="4"/>
      <c r="F419" s="5" t="str">
        <f t="shared" si="6"/>
        <v/>
      </c>
      <c r="G419" s="4"/>
    </row>
    <row r="420" spans="1:7" x14ac:dyDescent="0.3">
      <c r="A420" s="15"/>
      <c r="B420" s="3"/>
      <c r="C420" s="3"/>
      <c r="D420" s="3"/>
      <c r="E420" s="4"/>
      <c r="F420" s="5" t="str">
        <f t="shared" si="6"/>
        <v/>
      </c>
      <c r="G420" s="4"/>
    </row>
    <row r="421" spans="1:7" x14ac:dyDescent="0.3">
      <c r="A421" s="15"/>
      <c r="B421" s="3"/>
      <c r="C421" s="3"/>
      <c r="D421" s="3"/>
      <c r="E421" s="4"/>
      <c r="F421" s="5" t="str">
        <f t="shared" si="6"/>
        <v/>
      </c>
      <c r="G421" s="4"/>
    </row>
    <row r="422" spans="1:7" x14ac:dyDescent="0.3">
      <c r="A422" s="15"/>
      <c r="B422" s="3"/>
      <c r="C422" s="3"/>
      <c r="D422" s="3"/>
      <c r="E422" s="4"/>
      <c r="F422" s="5" t="str">
        <f t="shared" si="6"/>
        <v/>
      </c>
      <c r="G422" s="4"/>
    </row>
    <row r="423" spans="1:7" x14ac:dyDescent="0.3">
      <c r="A423" s="15"/>
      <c r="B423" s="3"/>
      <c r="C423" s="3"/>
      <c r="D423" s="3"/>
      <c r="E423" s="4"/>
      <c r="F423" s="5" t="str">
        <f t="shared" si="6"/>
        <v/>
      </c>
      <c r="G423" s="4"/>
    </row>
    <row r="424" spans="1:7" x14ac:dyDescent="0.3">
      <c r="A424" s="15"/>
      <c r="B424" s="3"/>
      <c r="C424" s="3"/>
      <c r="D424" s="3"/>
      <c r="E424" s="4"/>
      <c r="F424" s="5" t="str">
        <f t="shared" si="6"/>
        <v/>
      </c>
      <c r="G424" s="4"/>
    </row>
    <row r="425" spans="1:7" x14ac:dyDescent="0.3">
      <c r="A425" s="15"/>
      <c r="B425" s="3"/>
      <c r="C425" s="3"/>
      <c r="D425" s="3"/>
      <c r="E425" s="4"/>
      <c r="F425" s="5" t="str">
        <f t="shared" si="6"/>
        <v/>
      </c>
      <c r="G425" s="4"/>
    </row>
    <row r="426" spans="1:7" x14ac:dyDescent="0.3">
      <c r="A426" s="15"/>
      <c r="B426" s="3"/>
      <c r="C426" s="3"/>
      <c r="D426" s="3"/>
      <c r="E426" s="4"/>
      <c r="F426" s="5" t="str">
        <f t="shared" si="6"/>
        <v/>
      </c>
      <c r="G426" s="4"/>
    </row>
    <row r="427" spans="1:7" x14ac:dyDescent="0.3">
      <c r="A427" s="15"/>
      <c r="B427" s="3"/>
      <c r="C427" s="3"/>
      <c r="D427" s="3"/>
      <c r="E427" s="4"/>
      <c r="F427" s="5" t="str">
        <f t="shared" si="6"/>
        <v/>
      </c>
      <c r="G427" s="4"/>
    </row>
    <row r="428" spans="1:7" x14ac:dyDescent="0.3">
      <c r="A428" s="15"/>
      <c r="B428" s="3"/>
      <c r="C428" s="3"/>
      <c r="D428" s="3"/>
      <c r="E428" s="4"/>
      <c r="F428" s="5" t="str">
        <f t="shared" si="6"/>
        <v/>
      </c>
      <c r="G428" s="4"/>
    </row>
    <row r="429" spans="1:7" x14ac:dyDescent="0.3">
      <c r="A429" s="15"/>
      <c r="B429" s="3"/>
      <c r="C429" s="3"/>
      <c r="D429" s="3"/>
      <c r="E429" s="4"/>
      <c r="F429" s="5" t="str">
        <f t="shared" si="6"/>
        <v/>
      </c>
      <c r="G429" s="4"/>
    </row>
    <row r="430" spans="1:7" x14ac:dyDescent="0.3">
      <c r="A430" s="15"/>
      <c r="B430" s="3"/>
      <c r="C430" s="3"/>
      <c r="D430" s="3"/>
      <c r="E430" s="4"/>
      <c r="F430" s="5" t="str">
        <f t="shared" si="6"/>
        <v/>
      </c>
      <c r="G430" s="4"/>
    </row>
    <row r="431" spans="1:7" x14ac:dyDescent="0.3">
      <c r="A431" s="15"/>
      <c r="B431" s="3"/>
      <c r="C431" s="3"/>
      <c r="D431" s="3"/>
      <c r="E431" s="4"/>
      <c r="F431" s="5" t="str">
        <f t="shared" si="6"/>
        <v/>
      </c>
      <c r="G431" s="4"/>
    </row>
    <row r="432" spans="1:7" x14ac:dyDescent="0.3">
      <c r="A432" s="15"/>
      <c r="B432" s="3"/>
      <c r="C432" s="3"/>
      <c r="D432" s="3"/>
      <c r="E432" s="4"/>
      <c r="F432" s="5" t="str">
        <f t="shared" si="6"/>
        <v/>
      </c>
      <c r="G432" s="4"/>
    </row>
    <row r="433" spans="1:7" x14ac:dyDescent="0.3">
      <c r="A433" s="15"/>
      <c r="B433" s="3"/>
      <c r="C433" s="3"/>
      <c r="D433" s="3"/>
      <c r="E433" s="4"/>
      <c r="F433" s="5" t="str">
        <f t="shared" si="6"/>
        <v/>
      </c>
      <c r="G433" s="4"/>
    </row>
    <row r="434" spans="1:7" x14ac:dyDescent="0.3">
      <c r="A434" s="15"/>
      <c r="B434" s="3"/>
      <c r="C434" s="3"/>
      <c r="D434" s="3"/>
      <c r="E434" s="4"/>
      <c r="F434" s="5" t="str">
        <f t="shared" si="6"/>
        <v/>
      </c>
      <c r="G434" s="4"/>
    </row>
    <row r="435" spans="1:7" x14ac:dyDescent="0.3">
      <c r="A435" s="15"/>
      <c r="B435" s="3"/>
      <c r="C435" s="3"/>
      <c r="D435" s="3"/>
      <c r="E435" s="4"/>
      <c r="F435" s="5" t="str">
        <f t="shared" si="6"/>
        <v/>
      </c>
      <c r="G435" s="4"/>
    </row>
    <row r="436" spans="1:7" x14ac:dyDescent="0.3">
      <c r="A436" s="15"/>
      <c r="B436" s="3"/>
      <c r="C436" s="3"/>
      <c r="D436" s="3"/>
      <c r="E436" s="4"/>
      <c r="F436" s="5" t="str">
        <f t="shared" si="6"/>
        <v/>
      </c>
      <c r="G436" s="4"/>
    </row>
    <row r="437" spans="1:7" x14ac:dyDescent="0.3">
      <c r="A437" s="15"/>
      <c r="B437" s="3"/>
      <c r="C437" s="3"/>
      <c r="D437" s="3"/>
      <c r="E437" s="4"/>
      <c r="F437" s="5" t="str">
        <f t="shared" si="6"/>
        <v/>
      </c>
      <c r="G437" s="4"/>
    </row>
    <row r="438" spans="1:7" x14ac:dyDescent="0.3">
      <c r="A438" s="15"/>
      <c r="B438" s="3"/>
      <c r="C438" s="3"/>
      <c r="D438" s="3"/>
      <c r="E438" s="4"/>
      <c r="F438" s="5" t="str">
        <f t="shared" si="6"/>
        <v/>
      </c>
      <c r="G438" s="4"/>
    </row>
    <row r="439" spans="1:7" x14ac:dyDescent="0.3">
      <c r="A439" s="15"/>
      <c r="B439" s="3"/>
      <c r="C439" s="3"/>
      <c r="D439" s="3"/>
      <c r="E439" s="4"/>
      <c r="F439" s="5" t="str">
        <f t="shared" si="6"/>
        <v/>
      </c>
      <c r="G439" s="4"/>
    </row>
    <row r="440" spans="1:7" x14ac:dyDescent="0.3">
      <c r="A440" s="15"/>
      <c r="B440" s="3"/>
      <c r="C440" s="3"/>
      <c r="D440" s="3"/>
      <c r="E440" s="4"/>
      <c r="F440" s="5" t="str">
        <f t="shared" si="6"/>
        <v/>
      </c>
      <c r="G440" s="4"/>
    </row>
    <row r="441" spans="1:7" x14ac:dyDescent="0.3">
      <c r="A441" s="15"/>
      <c r="B441" s="3"/>
      <c r="C441" s="3"/>
      <c r="D441" s="3"/>
      <c r="E441" s="4"/>
      <c r="F441" s="5" t="str">
        <f t="shared" si="6"/>
        <v/>
      </c>
      <c r="G441" s="4"/>
    </row>
    <row r="442" spans="1:7" x14ac:dyDescent="0.3">
      <c r="A442" s="15"/>
      <c r="B442" s="3"/>
      <c r="C442" s="3"/>
      <c r="D442" s="3"/>
      <c r="E442" s="4"/>
      <c r="F442" s="5" t="str">
        <f t="shared" si="6"/>
        <v/>
      </c>
      <c r="G442" s="4"/>
    </row>
    <row r="443" spans="1:7" x14ac:dyDescent="0.3">
      <c r="A443" s="15"/>
      <c r="B443" s="3"/>
      <c r="C443" s="3"/>
      <c r="D443" s="3"/>
      <c r="E443" s="4"/>
      <c r="F443" s="5" t="str">
        <f t="shared" si="6"/>
        <v/>
      </c>
      <c r="G443" s="4"/>
    </row>
    <row r="444" spans="1:7" x14ac:dyDescent="0.3">
      <c r="A444" s="15"/>
      <c r="B444" s="3"/>
      <c r="C444" s="3"/>
      <c r="D444" s="3"/>
      <c r="E444" s="4"/>
      <c r="F444" s="5" t="str">
        <f t="shared" si="6"/>
        <v/>
      </c>
      <c r="G444" s="4"/>
    </row>
    <row r="445" spans="1:7" x14ac:dyDescent="0.3">
      <c r="A445" s="15"/>
      <c r="B445" s="3"/>
      <c r="C445" s="3"/>
      <c r="D445" s="3"/>
      <c r="E445" s="4"/>
      <c r="F445" s="5" t="str">
        <f t="shared" si="6"/>
        <v/>
      </c>
      <c r="G445" s="4"/>
    </row>
    <row r="446" spans="1:7" x14ac:dyDescent="0.3">
      <c r="A446" s="15"/>
      <c r="B446" s="3"/>
      <c r="C446" s="3"/>
      <c r="D446" s="3"/>
      <c r="E446" s="4"/>
      <c r="F446" s="5" t="str">
        <f t="shared" si="6"/>
        <v/>
      </c>
      <c r="G446" s="4"/>
    </row>
    <row r="447" spans="1:7" x14ac:dyDescent="0.3">
      <c r="A447" s="15"/>
      <c r="B447" s="3"/>
      <c r="C447" s="3"/>
      <c r="D447" s="3"/>
      <c r="E447" s="4"/>
      <c r="F447" s="5" t="str">
        <f t="shared" si="6"/>
        <v/>
      </c>
      <c r="G447" s="4"/>
    </row>
    <row r="448" spans="1:7" x14ac:dyDescent="0.3">
      <c r="A448" s="15"/>
      <c r="B448" s="3"/>
      <c r="C448" s="3"/>
      <c r="D448" s="3"/>
      <c r="E448" s="4"/>
      <c r="F448" s="5" t="str">
        <f t="shared" si="6"/>
        <v/>
      </c>
      <c r="G448" s="4"/>
    </row>
    <row r="449" spans="1:7" x14ac:dyDescent="0.3">
      <c r="A449" s="15"/>
      <c r="B449" s="3"/>
      <c r="C449" s="3"/>
      <c r="D449" s="3"/>
      <c r="E449" s="4"/>
      <c r="F449" s="5" t="str">
        <f t="shared" si="6"/>
        <v/>
      </c>
      <c r="G449" s="4"/>
    </row>
    <row r="450" spans="1:7" x14ac:dyDescent="0.3">
      <c r="A450" s="15"/>
      <c r="B450" s="3"/>
      <c r="C450" s="3"/>
      <c r="D450" s="3"/>
      <c r="E450" s="4"/>
      <c r="F450" s="5" t="str">
        <f t="shared" si="6"/>
        <v/>
      </c>
      <c r="G450" s="4"/>
    </row>
  </sheetData>
  <sheetProtection sheet="1" objects="1" scenarios="1" selectLockedCells="1" sort="0" autoFilter="0"/>
  <mergeCells count="11">
    <mergeCell ref="J13:K15"/>
    <mergeCell ref="J17:K18"/>
    <mergeCell ref="J19:K21"/>
    <mergeCell ref="J16:K16"/>
    <mergeCell ref="J22:K1048576"/>
    <mergeCell ref="J11:K12"/>
    <mergeCell ref="A1:G2"/>
    <mergeCell ref="J1:K4"/>
    <mergeCell ref="J5:K6"/>
    <mergeCell ref="J7:K9"/>
    <mergeCell ref="J10:K10"/>
  </mergeCells>
  <dataValidations count="6">
    <dataValidation type="custom" operator="greaterThanOrEqual" allowBlank="1" showInputMessage="1" showErrorMessage="1" errorTitle="Invalid entry!" error="Entry must be ≥ 0_x000a_Only ‘Item Received’ or ‘Payment Made’ allowed record is allowed" sqref="G4:G450" xr:uid="{4FB1B2ED-DDAE-468C-A165-D49D61C54761}">
      <formula1>AND(G4&gt;=0, OR(ISBLANK(G4), F4=""))</formula1>
    </dataValidation>
    <dataValidation type="decimal" operator="greaterThan" allowBlank="1" showInputMessage="1" showErrorMessage="1" errorTitle="Invalid Price!" error="Enter a positive unit price only." sqref="E4:E450" xr:uid="{9FB33B4A-EED7-412E-A71E-BF4C30DCAD98}">
      <formula1>0</formula1>
    </dataValidation>
    <dataValidation type="whole" operator="greaterThan" allowBlank="1" showInputMessage="1" showErrorMessage="1" errorTitle="Invalid quantity!" error="Please enter a whole number greater than zero." sqref="D4:D450" xr:uid="{3C05F36B-2925-4778-B860-6A734AC1439B}">
      <formula1>0</formula1>
    </dataValidation>
    <dataValidation type="list" allowBlank="1" showInputMessage="1" showErrorMessage="1" errorTitle="Invalid Entry!" error="Invalid entry! Please select transaction type (Item received or payment made) from the drop-down list." sqref="B4:B450" xr:uid="{BBD901CC-7C54-4B0C-A17F-3A2C4B1150A7}">
      <formula1>"Item Received, Payment Made"</formula1>
    </dataValidation>
    <dataValidation type="date" operator="greaterThan" allowBlank="1" showInputMessage="1" showErrorMessage="1" errorTitle="Invalid Entry!" error="Enter a date in yyyy-mm-dd format not before 2024-12-31." sqref="A4:A450" xr:uid="{2E6F48F1-D196-4314-B89C-1B9AE9A3B8E7}">
      <formula1>DATE(2024,12,31)</formula1>
    </dataValidation>
    <dataValidation allowBlank="1" showInputMessage="1" showErrorMessage="1" promptTitle="Entry" prompt="Ensure item names match exactly with those in Inventory sheet." sqref="C4:C450" xr:uid="{924C7667-6ABB-44A5-8616-23CDD05B873F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0E19-B96B-4E0F-A23F-CCCAB464AFB7}">
  <dimension ref="A1:O32"/>
  <sheetViews>
    <sheetView showGridLines="0" showRowColHeaders="0" tabSelected="1" workbookViewId="0">
      <selection activeCell="M21" sqref="M21"/>
    </sheetView>
  </sheetViews>
  <sheetFormatPr defaultColWidth="0" defaultRowHeight="14.4" zeroHeight="1" x14ac:dyDescent="0.3"/>
  <cols>
    <col min="1" max="15" width="8.88671875" customWidth="1"/>
    <col min="16" max="16384" width="8.88671875" hidden="1"/>
  </cols>
  <sheetData>
    <row r="1" spans="2:14" s="14" customFormat="1" x14ac:dyDescent="0.3"/>
    <row r="2" spans="2:14" s="14" customFormat="1" ht="14.4" customHeight="1" x14ac:dyDescent="0.3">
      <c r="C2" s="38" t="s">
        <v>18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2:14" s="14" customFormat="1" ht="14.4" customHeight="1" x14ac:dyDescent="0.3"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2:14" s="14" customFormat="1" ht="14.4" customHeight="1" x14ac:dyDescent="0.3"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2:14" s="14" customFormat="1" x14ac:dyDescent="0.3"/>
    <row r="6" spans="2:14" s="14" customFormat="1" x14ac:dyDescent="0.3">
      <c r="B6" s="39" t="s">
        <v>19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2:14" s="14" customFormat="1" x14ac:dyDescent="0.3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2:14" s="14" customFormat="1" x14ac:dyDescent="0.3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2:14" s="14" customFormat="1" x14ac:dyDescent="0.3"/>
    <row r="10" spans="2:14" s="14" customFormat="1" x14ac:dyDescent="0.3">
      <c r="C10" s="40" t="s">
        <v>20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2:14" s="14" customFormat="1" x14ac:dyDescent="0.3"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2:14" s="14" customFormat="1" x14ac:dyDescent="0.3"/>
    <row r="13" spans="2:14" s="14" customFormat="1" ht="16.8" x14ac:dyDescent="0.3">
      <c r="B13" s="35" t="s">
        <v>0</v>
      </c>
      <c r="C13" s="36"/>
      <c r="D13" s="36"/>
      <c r="E13" s="36"/>
      <c r="F13" s="36"/>
      <c r="G13" s="37"/>
      <c r="H13" s="35" t="s">
        <v>25</v>
      </c>
      <c r="I13" s="36"/>
      <c r="J13" s="36"/>
      <c r="K13" s="36"/>
      <c r="L13" s="36"/>
      <c r="M13" s="36"/>
      <c r="N13" s="37"/>
    </row>
    <row r="14" spans="2:14" s="14" customFormat="1" ht="16.8" x14ac:dyDescent="0.3">
      <c r="B14" s="34" t="s">
        <v>21</v>
      </c>
      <c r="C14" s="34"/>
      <c r="D14" s="34"/>
      <c r="E14" s="34"/>
      <c r="F14" s="34"/>
      <c r="G14" s="34"/>
      <c r="H14" s="35" t="s">
        <v>26</v>
      </c>
      <c r="I14" s="36"/>
      <c r="J14" s="36"/>
      <c r="K14" s="36"/>
      <c r="L14" s="36"/>
      <c r="M14" s="36"/>
      <c r="N14" s="37"/>
    </row>
    <row r="15" spans="2:14" s="14" customFormat="1" ht="16.8" x14ac:dyDescent="0.3">
      <c r="B15" s="34" t="s">
        <v>17</v>
      </c>
      <c r="C15" s="34"/>
      <c r="D15" s="34"/>
      <c r="E15" s="34"/>
      <c r="F15" s="34"/>
      <c r="G15" s="34"/>
      <c r="H15" s="35" t="s">
        <v>27</v>
      </c>
      <c r="I15" s="36"/>
      <c r="J15" s="36"/>
      <c r="K15" s="36"/>
      <c r="L15" s="36"/>
      <c r="M15" s="36"/>
      <c r="N15" s="37"/>
    </row>
    <row r="16" spans="2:14" s="14" customFormat="1" ht="16.8" x14ac:dyDescent="0.3">
      <c r="B16" s="34" t="s">
        <v>2</v>
      </c>
      <c r="C16" s="34"/>
      <c r="D16" s="34"/>
      <c r="E16" s="34"/>
      <c r="F16" s="34"/>
      <c r="G16" s="34"/>
      <c r="H16" s="35" t="s">
        <v>28</v>
      </c>
      <c r="I16" s="36"/>
      <c r="J16" s="36"/>
      <c r="K16" s="36"/>
      <c r="L16" s="36"/>
      <c r="M16" s="36"/>
      <c r="N16" s="37"/>
    </row>
    <row r="17" spans="1:14" s="14" customFormat="1" ht="16.8" x14ac:dyDescent="0.3">
      <c r="B17" s="34" t="s">
        <v>22</v>
      </c>
      <c r="C17" s="34"/>
      <c r="D17" s="34"/>
      <c r="E17" s="34"/>
      <c r="F17" s="34"/>
      <c r="G17" s="34"/>
      <c r="H17" s="35" t="s">
        <v>29</v>
      </c>
      <c r="I17" s="36"/>
      <c r="J17" s="36"/>
      <c r="K17" s="36"/>
      <c r="L17" s="36"/>
      <c r="M17" s="36"/>
      <c r="N17" s="37"/>
    </row>
    <row r="18" spans="1:14" s="14" customFormat="1" ht="16.8" x14ac:dyDescent="0.3">
      <c r="B18" s="34" t="s">
        <v>23</v>
      </c>
      <c r="C18" s="34"/>
      <c r="D18" s="34"/>
      <c r="E18" s="34"/>
      <c r="F18" s="34"/>
      <c r="G18" s="34"/>
      <c r="H18" s="35" t="s">
        <v>30</v>
      </c>
      <c r="I18" s="36"/>
      <c r="J18" s="36"/>
      <c r="K18" s="36"/>
      <c r="L18" s="36"/>
      <c r="M18" s="36"/>
      <c r="N18" s="37"/>
    </row>
    <row r="19" spans="1:14" s="14" customFormat="1" ht="16.8" x14ac:dyDescent="0.3">
      <c r="B19" s="34" t="s">
        <v>24</v>
      </c>
      <c r="C19" s="34"/>
      <c r="D19" s="34"/>
      <c r="E19" s="34"/>
      <c r="F19" s="34"/>
      <c r="G19" s="34"/>
      <c r="H19" s="35" t="s">
        <v>31</v>
      </c>
      <c r="I19" s="36"/>
      <c r="J19" s="36"/>
      <c r="K19" s="36"/>
      <c r="L19" s="36"/>
      <c r="M19" s="36"/>
      <c r="N19" s="37"/>
    </row>
    <row r="20" spans="1:14" s="14" customFormat="1" x14ac:dyDescent="0.3"/>
    <row r="21" spans="1:14" s="14" customFormat="1" x14ac:dyDescent="0.3"/>
    <row r="22" spans="1:14" s="14" customFormat="1" x14ac:dyDescent="0.3">
      <c r="C22" s="40" t="s">
        <v>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1:14" s="14" customFormat="1" x14ac:dyDescent="0.3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1:14" s="14" customFormat="1" x14ac:dyDescent="0.3"/>
    <row r="25" spans="1:14" s="14" customFormat="1" ht="16.8" x14ac:dyDescent="0.3">
      <c r="B25" s="35" t="s">
        <v>5</v>
      </c>
      <c r="C25" s="36"/>
      <c r="D25" s="36"/>
      <c r="E25" s="36"/>
      <c r="F25" s="36"/>
      <c r="G25" s="37"/>
      <c r="H25" s="35" t="s">
        <v>40</v>
      </c>
      <c r="I25" s="36"/>
      <c r="J25" s="36"/>
      <c r="K25" s="36"/>
      <c r="L25" s="36"/>
      <c r="M25" s="36"/>
      <c r="N25" s="37"/>
    </row>
    <row r="26" spans="1:14" s="14" customFormat="1" ht="16.8" x14ac:dyDescent="0.3">
      <c r="B26" s="34" t="s">
        <v>36</v>
      </c>
      <c r="C26" s="34"/>
      <c r="D26" s="34"/>
      <c r="E26" s="34"/>
      <c r="F26" s="34"/>
      <c r="G26" s="34"/>
      <c r="H26" s="35" t="s">
        <v>32</v>
      </c>
      <c r="I26" s="36"/>
      <c r="J26" s="36"/>
      <c r="K26" s="36"/>
      <c r="L26" s="36"/>
      <c r="M26" s="36"/>
      <c r="N26" s="37"/>
    </row>
    <row r="27" spans="1:14" s="14" customFormat="1" ht="16.8" x14ac:dyDescent="0.3">
      <c r="B27" s="34" t="s">
        <v>37</v>
      </c>
      <c r="C27" s="34"/>
      <c r="D27" s="34"/>
      <c r="E27" s="34"/>
      <c r="F27" s="34"/>
      <c r="G27" s="34"/>
      <c r="H27" s="35" t="s">
        <v>33</v>
      </c>
      <c r="I27" s="36"/>
      <c r="J27" s="36"/>
      <c r="K27" s="36"/>
      <c r="L27" s="36"/>
      <c r="M27" s="36"/>
      <c r="N27" s="37"/>
    </row>
    <row r="28" spans="1:14" ht="16.8" x14ac:dyDescent="0.3">
      <c r="A28" s="14"/>
      <c r="B28" s="34" t="s">
        <v>39</v>
      </c>
      <c r="C28" s="34"/>
      <c r="D28" s="34"/>
      <c r="E28" s="34"/>
      <c r="F28" s="34"/>
      <c r="G28" s="34"/>
      <c r="H28" s="35" t="s">
        <v>34</v>
      </c>
      <c r="I28" s="36"/>
      <c r="J28" s="36"/>
      <c r="K28" s="36"/>
      <c r="L28" s="36"/>
      <c r="M28" s="36"/>
      <c r="N28" s="37"/>
    </row>
    <row r="29" spans="1:14" ht="16.8" x14ac:dyDescent="0.3">
      <c r="A29" s="14"/>
      <c r="B29" s="34" t="s">
        <v>38</v>
      </c>
      <c r="C29" s="34"/>
      <c r="D29" s="34"/>
      <c r="E29" s="34"/>
      <c r="F29" s="34"/>
      <c r="G29" s="34"/>
      <c r="H29" s="35" t="s">
        <v>35</v>
      </c>
      <c r="I29" s="36"/>
      <c r="J29" s="36"/>
      <c r="K29" s="36"/>
      <c r="L29" s="36"/>
      <c r="M29" s="36"/>
      <c r="N29" s="37"/>
    </row>
    <row r="30" spans="1:14" x14ac:dyDescent="0.3"/>
    <row r="31" spans="1:14" x14ac:dyDescent="0.3"/>
    <row r="32" spans="1:14" x14ac:dyDescent="0.3"/>
  </sheetData>
  <sheetProtection sheet="1" objects="1" scenarios="1" selectLockedCells="1"/>
  <mergeCells count="28">
    <mergeCell ref="B28:G28"/>
    <mergeCell ref="H28:N28"/>
    <mergeCell ref="B29:G29"/>
    <mergeCell ref="H29:N29"/>
    <mergeCell ref="H18:N18"/>
    <mergeCell ref="H19:N19"/>
    <mergeCell ref="C22:M23"/>
    <mergeCell ref="B25:G25"/>
    <mergeCell ref="H25:N25"/>
    <mergeCell ref="B19:G19"/>
    <mergeCell ref="B26:G26"/>
    <mergeCell ref="H26:N26"/>
    <mergeCell ref="B27:G27"/>
    <mergeCell ref="H27:N27"/>
    <mergeCell ref="C2:M4"/>
    <mergeCell ref="B6:N8"/>
    <mergeCell ref="C10:M11"/>
    <mergeCell ref="B13:G13"/>
    <mergeCell ref="B14:G14"/>
    <mergeCell ref="H14:N14"/>
    <mergeCell ref="H13:N13"/>
    <mergeCell ref="B15:G15"/>
    <mergeCell ref="B16:G16"/>
    <mergeCell ref="B17:G17"/>
    <mergeCell ref="B18:G18"/>
    <mergeCell ref="H15:N15"/>
    <mergeCell ref="H16:N16"/>
    <mergeCell ref="H17:N1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Homepage</vt:lpstr>
      <vt:lpstr>Inventory</vt:lpstr>
      <vt:lpstr>SupplierX</vt:lpstr>
      <vt:lpstr>SupplierY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 Musediku</cp:lastModifiedBy>
  <dcterms:created xsi:type="dcterms:W3CDTF">2015-06-05T18:17:20Z</dcterms:created>
  <dcterms:modified xsi:type="dcterms:W3CDTF">2025-11-13T05:06:49Z</dcterms:modified>
</cp:coreProperties>
</file>